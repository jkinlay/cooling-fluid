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b8a4b5500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0c5d9463bd5b42ca"/>
    <x:sheet xmlns:r="http://schemas.openxmlformats.org/officeDocument/2006/relationships" name="Evidence" sheetId="2" r:id="R9ce4cc16dd094212"/>
    <x:sheet xmlns:r="http://schemas.openxmlformats.org/officeDocument/2006/relationships" name="Data gaps" sheetId="3" r:id="R8882eb19926f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5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sz val="10"/>
      <x:color rgb="FF52606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486581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7A5700"/>
      </x:font>
      <x:fill>
        <x:patternFill patternType="solid">
          <x:bgColor rgb="FFFFF3CD"/>
        </x:patternFill>
      </x:fill>
    </x:dxf>
    <x:dxf>
      <x:font>
        <x:color rgb="FF9C2020"/>
      </x:font>
      <x:fill>
        <x:patternFill patternType="solid">
          <x:bgColor rgb="FFFCE3E3"/>
        </x:patternFill>
      </x:fill>
    </x:dxf>
    <x:dxf>
      <x:font>
        <x:color rgb="FF7A5700"/>
      </x:font>
      <x:fill>
        <x:patternFill patternType="solid">
          <x:bgColor rgb="FFFFF3CD"/>
        </x:patternFill>
      </x:fill>
    </x:dxf>
    <x:dxf>
      <x:font>
        <x:color rgb="FF9C2020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d900d1eef40f2" /><Relationship Type="http://schemas.openxmlformats.org/officeDocument/2006/relationships/theme" Target="/xl/theme/theme1.xml" Id="Re98ae4934c214c00" /><Relationship Type="http://schemas.openxmlformats.org/officeDocument/2006/relationships/sharedStrings" Target="/xl/sharedStrings.xml" Id="R34c90af6f829489e" /><Relationship Type="http://schemas.openxmlformats.org/officeDocument/2006/relationships/worksheet" Target="/xl/worksheets/sheet1.xml" Id="R0c5d9463bd5b42ca" /><Relationship Type="http://schemas.openxmlformats.org/officeDocument/2006/relationships/worksheet" Target="/xl/worksheets/sheet2.xml" Id="R9ce4cc16dd094212" /><Relationship Type="http://schemas.openxmlformats.org/officeDocument/2006/relationships/worksheet" Target="/xl/worksheets/sheet3.xml" Id="R8882eb19926f4cf1" /></Relationships>
</file>

<file path=xl/tables/table1.xml><?xml version="1.0" encoding="utf-8"?>
<x:table xmlns:x="http://schemas.openxmlformats.org/spreadsheetml/2006/main" id="1" name="CandidateTable" displayName="CandidateTable" ref="A9:U41" headerRowCount="1" totalsRowCount="0" totalsRowShown="0">
  <x:autoFilter ref="A9:U41"/>
  <x:tableColumns count="21">
    <x:tableColumn id="1" name="ID"/>
    <x:tableColumn id="2" name="Compound"/>
    <x:tableColumn id="3" name="CAS"/>
    <x:tableColumn id="4" name="Family"/>
    <x:tableColumn id="5" name="Boiling screen"/>
    <x:tableColumn id="6" name="NIST low (°C)"/>
    <x:tableColumn id="7" name="NIST high (°C)"/>
    <x:tableColumn id="8" name="Flash point (°C)"/>
    <x:tableColumn id="9" name="FP relation"/>
    <x:tableColumn id="10" name="Fire evidence"/>
    <x:tableColumn id="11" name="Overall profile"/>
    <x:tableColumn id="12" name="Evidence flags"/>
    <x:tableColumn id="13" name="Next evidence need"/>
    <x:tableColumn id="14" name="Boiling source ID"/>
    <x:tableColumn id="15" name="Flash source ID"/>
    <x:tableColumn id="16" name="Supplier bp report"/>
    <x:tableColumn id="17" name="Flash-point method"/>
    <x:tableColumn id="18" name="Formula"/>
    <x:tableColumn id="19" name="Catalogue purity"/>
    <x:tableColumn id="20" name="Vapour-pressure lead"/>
    <x:tableColumn id="21" name="Vaporization heat le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pertyEvidence" displayName="PropertyEvidence" ref="A1:Q165" headerRowCount="1" totalsRowCount="0" totalsRowShown="0">
  <x:autoFilter ref="A1:Q165"/>
  <x:tableColumns count="17">
    <x:tableColumn id="1" name="Observation"/>
    <x:tableColumn id="2" name="Candidate"/>
    <x:tableColumn id="3" name="Property"/>
    <x:tableColumn id="4" name="Reported value"/>
    <x:tableColumn id="5" name="Unit"/>
    <x:tableColumn id="6" name="Reported low"/>
    <x:tableColumn id="7" name="Reported high"/>
    <x:tableColumn id="8" name="Reported ±"/>
    <x:tableColumn id="9" name="Relation"/>
    <x:tableColumn id="10" name="Low (°C)"/>
    <x:tableColumn id="11" name="High (°C)"/>
    <x:tableColumn id="12" name="Method"/>
    <x:tableColumn id="13" name="Pressure / convention"/>
    <x:tableColumn id="14" name="Evidence note"/>
    <x:tableColumn id="15" name="Source ID"/>
    <x:tableColumn id="16" name="Source URL"/>
    <x:tableColumn id="17" name="Retriev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pRegister" displayName="GapRegister" ref="A6:G15" headerRowCount="1" totalsRowCount="0" totalsRowShown="0">
  <x:autoFilter ref="A6:G15"/>
  <x:tableColumns count="7">
    <x:tableColumn id="1" name="Property / question"/>
    <x:tableColumn id="2" name="Current coverage"/>
    <x:tableColumn id="3" name="Wolfram route"/>
    <x:tableColumn id="4" name="Other source route"/>
    <x:tableColumn id="5" name="What remains to establish"/>
    <x:tableColumn id="6" name="Evidence type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5d3c2ce1fe4c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5e52853dae4d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8aac1e7b9a4f8d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7.78000020980835" hidden="0" customWidth="1"/>
    <x:col min="2" max="2" width="24.219999313354492" hidden="0" customWidth="1"/>
    <x:col min="3" max="3" width="11.109999656677246" hidden="0" customWidth="1"/>
    <x:col min="4" max="4" width="12.4399995803833" hidden="0" customWidth="1"/>
    <x:col min="5" max="5" width="10.5600004196167" hidden="0" customWidth="1"/>
    <x:col min="6" max="6" width="9.109999656677246" hidden="0" customWidth="1"/>
    <x:col min="7" max="7" width="9.109999656677246" hidden="0" customWidth="1"/>
    <x:col min="8" max="8" width="9.109999656677246" hidden="0" customWidth="1"/>
    <x:col min="9" max="9" width="10.5600004196167" hidden="0" customWidth="1"/>
    <x:col min="10" max="10" width="13.670000076293945" hidden="0" customWidth="1"/>
    <x:col min="11" max="11" width="10.4399995803833" hidden="0" customWidth="1"/>
    <x:col min="12" max="12" width="40" hidden="0" customWidth="1"/>
    <x:col min="13" max="13" width="47.779998779296875" hidden="0" customWidth="1"/>
    <x:col min="14" max="14" width="15" hidden="0" customWidth="1"/>
    <x:col min="15" max="15" width="15" hidden="0" customWidth="1"/>
    <x:col min="16" max="16" width="17.219999313354492" hidden="0" customWidth="1"/>
    <x:col min="17" max="17" width="27.780000686645508" hidden="0" customWidth="1"/>
    <x:col min="18" max="18" width="10.5600004196167" hidden="0" customWidth="1"/>
    <x:col min="19" max="19" width="15.5600004196167" hidden="0" customWidth="1"/>
    <x:col min="20" max="20" width="16.670000076293945" hidden="0" customWidth="1"/>
    <x:col min="21" max="21" width="17.21999931335449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3" t="str">
        <x:v>Cooling fluid candidates | 45–55°C normal-boiling screen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4" t="str">
        <x:v>29 September 2026 · 32 named entries · literature screen; no project measurements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>
      <x:c r="A4" s="2" t="str">
        <x:v>Records</x:v>
      </x:c>
      <x:c r="B4" s="2" t="n">
        <x:f>COUNTA(A10:A41)</x:f>
        <x:v>32</x:v>
      </x:c>
      <x:c r="C4" s="2"/>
      <x:c r="D4" s="2" t="str">
        <x:v>Boiling PASS</x:v>
      </x:c>
      <x:c r="E4" s="2" t="n">
        <x:f>COUNTIFS(E10:E41,"PASS")</x:f>
        <x:v>13</x:v>
      </x:c>
      <x:c r="F4" s="2"/>
      <x:c r="G4" s="2" t="str">
        <x:v>Numerical FP</x:v>
      </x:c>
      <x:c r="H4" s="2" t="n">
        <x:f>COUNT(H10:H41)</x:f>
        <x:v>29</x:v>
      </x:c>
      <x:c r="I4" s="2"/>
      <x:c r="J4" s="2" t="str">
        <x:v>Boiling UNKNOWN</x:v>
      </x:c>
      <x:c r="K4" s="2" t="n">
        <x:f>COUNTIFS(E10:E41,"UNKNOWN")</x:f>
        <x:v>11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4" t="str">
        <x:v>PASS applies only to the boiling-range screen. NIST bounds retain source spread; they are not statistical confidence limits.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</x:row>
    <x:row r="7">
      <x:c r="A7" s="4" t="str">
        <x:v>No entry is a qualified coolant. Flash point above 0°C does not establish suitability; missing values remain unknown.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34" customHeight="1">
      <x:c r="A9" s="9" t="str">
        <x:v>ID</x:v>
      </x:c>
      <x:c r="B9" s="9" t="str">
        <x:v>Compound</x:v>
      </x:c>
      <x:c r="C9" s="9" t="str">
        <x:v>CAS</x:v>
      </x:c>
      <x:c r="D9" s="9" t="str">
        <x:v>Family</x:v>
      </x:c>
      <x:c r="E9" s="9" t="str">
        <x:v>Boiling screen</x:v>
      </x:c>
      <x:c r="F9" s="9" t="str">
        <x:v>NIST low (°C)</x:v>
      </x:c>
      <x:c r="G9" s="9" t="str">
        <x:v>NIST high (°C)</x:v>
      </x:c>
      <x:c r="H9" s="9" t="str">
        <x:v>Flash point (°C)</x:v>
      </x:c>
      <x:c r="I9" s="9" t="str">
        <x:v>FP relation</x:v>
      </x:c>
      <x:c r="J9" s="9" t="str">
        <x:v>Fire evidence</x:v>
      </x:c>
      <x:c r="K9" s="9" t="str">
        <x:v>Overall profile</x:v>
      </x:c>
      <x:c r="L9" s="9" t="str">
        <x:v>Evidence flags</x:v>
      </x:c>
      <x:c r="M9" s="9" t="str">
        <x:v>Next evidence need</x:v>
      </x:c>
      <x:c r="N9" s="9" t="str">
        <x:v>Boiling source ID</x:v>
      </x:c>
      <x:c r="O9" s="9" t="str">
        <x:v>Flash source ID</x:v>
      </x:c>
      <x:c r="P9" s="9" t="str">
        <x:v>Supplier bp report</x:v>
      </x:c>
      <x:c r="Q9" s="9" t="str">
        <x:v>Flash-point method</x:v>
      </x:c>
      <x:c r="R9" s="9" t="str">
        <x:v>Formula</x:v>
      </x:c>
      <x:c r="S9" s="9" t="str">
        <x:v>Catalogue purity</x:v>
      </x:c>
      <x:c r="T9" s="9" t="str">
        <x:v>Vapour-pressure lead</x:v>
      </x:c>
      <x:c r="U9" s="9" t="str">
        <x:v>Vaporization heat lead</x:v>
      </x:c>
    </x:row>
    <x:row r="10" ht="24" hidden="0" customHeight="1">
      <x:c r="A10" s="5" t="str">
        <x:v>CF001</x:v>
      </x:c>
      <x:c r="B10" s="5" t="str">
        <x:v>Cyclopentane</x:v>
      </x:c>
      <x:c r="C10" s="5" t="str">
        <x:v>287-92-3</x:v>
      </x:c>
      <x:c r="D10" s="5" t="str">
        <x:v>Hydrocarbon</x:v>
      </x:c>
      <x:c r="E10" s="5" t="str">
        <x:v>PASS</x:v>
      </x:c>
      <x:c r="F10" s="11" t="n">
        <x:v>48.95</x:v>
      </x:c>
      <x:c r="G10" s="11" t="n">
        <x:v>49.55</x:v>
      </x:c>
      <x:c r="H10" s="11" t="n">
        <x:v>-20</x:v>
      </x:c>
      <x:c r="I10" s="5" t="str">
        <x:v>EQ</x:v>
      </x:c>
      <x:c r="J10" s="5" t="str">
        <x:v>GHS Flam. Liq. 2</x:v>
      </x:c>
      <x:c r="K10" s="5" t="str">
        <x:v>UNKNOWN</x:v>
      </x:c>
      <x:c r="L10" s="12" t="str">
        <x:v>FLASH SOURCE DISAGREEMENT</x:v>
      </x:c>
      <x:c r="M10" s="12" t="str">
        <x:v>Set the application fire requirement first; electrical, compatibility and stability evidence remain unassessed.</x:v>
      </x:c>
      <x:c r="N10" s="5" t="str">
        <x:v>CF001_nist</x:v>
      </x:c>
      <x:c r="O10" s="5" t="str">
        <x:v>CF001_supplier</x:v>
      </x:c>
      <x:c r="P10" s="5" t="str">
        <x:v>50 °C (lit.)</x:v>
      </x:c>
      <x:c r="Q10" s="5" t="str">
        <x:v>closed cup; test standard not specified</x:v>
      </x:c>
      <x:c r="R10" s="5" t="str">
        <x:v>C5H10</x:v>
      </x:c>
      <x:c r="S10" s="5" t="str">
        <x:v>98%</x:v>
      </x:c>
      <x:c r="T10" s="5" t="str">
        <x:v>Other / partial range</x:v>
      </x:c>
      <x:c r="U10" s="5" t="str">
        <x:v>Located; not extracted</x:v>
      </x:c>
    </x:row>
    <x:row r="11" ht="24" hidden="0" customHeight="1">
      <x:c r="A11" s="5" t="str">
        <x:v>CF002</x:v>
      </x:c>
      <x:c r="B11" s="5" t="str">
        <x:v>2,2-Dimethylbutane</x:v>
      </x:c>
      <x:c r="C11" s="5" t="str">
        <x:v>75-83-2</x:v>
      </x:c>
      <x:c r="D11" s="5" t="str">
        <x:v>Hydrocarbon</x:v>
      </x:c>
      <x:c r="E11" s="5" t="str">
        <x:v>PASS</x:v>
      </x:c>
      <x:c r="F11" s="11" t="n">
        <x:v>49.65</x:v>
      </x:c>
      <x:c r="G11" s="11" t="n">
        <x:v>49.85</x:v>
      </x:c>
      <x:c r="H11" s="11" t="n">
        <x:v>-29</x:v>
      </x:c>
      <x:c r="I11" s="5" t="str">
        <x:v>EQ</x:v>
      </x:c>
      <x:c r="J11" s="5" t="str">
        <x:v>GHS Flam. Liq. 2</x:v>
      </x:c>
      <x:c r="K11" s="5" t="str">
        <x:v>UNKNOWN</x:v>
      </x:c>
      <x:c r="L11" s="12" t="str">
        <x:v>FLASH SOURCE DISAGREEMENT</x:v>
      </x:c>
      <x:c r="M11" s="12" t="str">
        <x:v>Set the application fire requirement first; electrical, compatibility and stability evidence remain unassessed.</x:v>
      </x:c>
      <x:c r="N11" s="5" t="str">
        <x:v>CF002_nist</x:v>
      </x:c>
      <x:c r="O11" s="5" t="str">
        <x:v>CF002_supplier</x:v>
      </x:c>
      <x:c r="P11" s="5" t="str">
        <x:v>50 °C (lit.)</x:v>
      </x:c>
      <x:c r="Q11" s="5" t="str">
        <x:v>closed cup; test standard not specified</x:v>
      </x:c>
      <x:c r="R11" s="5" t="str">
        <x:v>C6H14</x:v>
      </x:c>
      <x:c r="S11" s="5" t="str">
        <x:v>≥98.0%</x:v>
      </x:c>
      <x:c r="T11" s="5" t="str">
        <x:v>Other / partial range</x:v>
      </x:c>
      <x:c r="U11" s="5" t="str">
        <x:v>Located; not extracted</x:v>
      </x:c>
    </x:row>
    <x:row r="12" ht="24" hidden="0" customHeight="1">
      <x:c r="A12" s="5" t="str">
        <x:v>CF003</x:v>
      </x:c>
      <x:c r="B12" s="5" t="str">
        <x:v>3-Methyl-1-pentene</x:v>
      </x:c>
      <x:c r="C12" s="5" t="str">
        <x:v>760-20-3</x:v>
      </x:c>
      <x:c r="D12" s="5" t="str">
        <x:v>Hydrocarbon</x:v>
      </x:c>
      <x:c r="E12" s="5" t="str">
        <x:v>PASS</x:v>
      </x:c>
      <x:c r="F12" s="11" t="n">
        <x:v>53.25</x:v>
      </x:c>
      <x:c r="G12" s="11" t="n">
        <x:v>54.65</x:v>
      </x:c>
      <x:c r="H12" s="11" t="n">
        <x:v>-27</x:v>
      </x:c>
      <x:c r="I12" s="5" t="str">
        <x:v>EQ</x:v>
      </x:c>
      <x:c r="J12" s="5" t="str">
        <x:v>GHS Flam. Liq. 2</x:v>
      </x:c>
      <x:c r="K12" s="5" t="str">
        <x:v>UNKNOWN</x:v>
      </x:c>
      <x:c r="L12" s="12" t="str"/>
      <x:c r="M12" s="12" t="str">
        <x:v>Set the application fire requirement first; electrical, compatibility and stability evidence remain unassessed.</x:v>
      </x:c>
      <x:c r="N12" s="5" t="str">
        <x:v>CF003_nist_retry</x:v>
      </x:c>
      <x:c r="O12" s="5" t="str">
        <x:v>CF003_supplier</x:v>
      </x:c>
      <x:c r="P12" s="5" t="str">
        <x:v>54 °C (lit.)</x:v>
      </x:c>
      <x:c r="Q12" s="5" t="str">
        <x:v>closed cup; test standard not specified</x:v>
      </x:c>
      <x:c r="R12" s="5" t="str">
        <x:v>C6H12</x:v>
      </x:c>
      <x:c r="S12" s="5" t="str">
        <x:v>99%</x:v>
      </x:c>
      <x:c r="T12" s="5" t="str">
        <x:v>Not located</x:v>
      </x:c>
      <x:c r="U12" s="5" t="str">
        <x:v>Located; not extracted</x:v>
      </x:c>
    </x:row>
    <x:row r="13" ht="24" hidden="0" customHeight="1">
      <x:c r="A13" s="5" t="str">
        <x:v>CF004</x:v>
      </x:c>
      <x:c r="B13" s="5" t="str">
        <x:v>4-Methyl-1-pentene</x:v>
      </x:c>
      <x:c r="C13" s="5" t="str">
        <x:v>691-37-2</x:v>
      </x:c>
      <x:c r="D13" s="5" t="str">
        <x:v>Hydrocarbon</x:v>
      </x:c>
      <x:c r="E13" s="5" t="str">
        <x:v>PASS</x:v>
      </x:c>
      <x:c r="F13" s="11" t="n">
        <x:v>53.55</x:v>
      </x:c>
      <x:c r="G13" s="11" t="n">
        <x:v>54.15</x:v>
      </x:c>
      <x:c r="H13" s="11" t="n">
        <x:v>-32</x:v>
      </x:c>
      <x:c r="I13" s="5" t="str">
        <x:v>EQ</x:v>
      </x:c>
      <x:c r="J13" s="5" t="str">
        <x:v>Supplier H225</x:v>
      </x:c>
      <x:c r="K13" s="5" t="str">
        <x:v>UNKNOWN</x:v>
      </x:c>
      <x:c r="L13" s="12" t="str"/>
      <x:c r="M13" s="12" t="str">
        <x:v>Set the application fire requirement first; electrical, compatibility and stability evidence remain unassessed.</x:v>
      </x:c>
      <x:c r="N13" s="5" t="str">
        <x:v>CF004_nist</x:v>
      </x:c>
      <x:c r="O13" s="5" t="str">
        <x:v>CF004_supplier</x:v>
      </x:c>
      <x:c r="P13" s="5" t="str">
        <x:v>53 °C</x:v>
      </x:c>
      <x:c r="Q13" s="5" t="str">
        <x:v>not specified in retrieved record</x:v>
      </x:c>
      <x:c r="R13" s="5" t="str">
        <x:v>C6H12</x:v>
      </x:c>
      <x:c r="S13" s="5" t="str">
        <x:v>&gt;97.0%(GC)</x:v>
      </x:c>
      <x:c r="T13" s="5" t="str">
        <x:v>Not located</x:v>
      </x:c>
      <x:c r="U13" s="5" t="str">
        <x:v>Located; not extracted</x:v>
      </x:c>
    </x:row>
    <x:row r="14" ht="24" hidden="0" customHeight="1">
      <x:c r="A14" s="5" t="str">
        <x:v>CF005</x:v>
      </x:c>
      <x:c r="B14" s="5" t="str">
        <x:v>3-Methyl-1-pentyne</x:v>
      </x:c>
      <x:c r="C14" s="5" t="str">
        <x:v>922-59-8</x:v>
      </x:c>
      <x:c r="D14" s="5" t="str">
        <x:v>Hydrocarbon</x:v>
      </x:c>
      <x:c r="E14" s="5" t="str">
        <x:v>FAIL</x:v>
      </x:c>
      <x:c r="F14" s="11" t="n">
        <x:v>56.85</x:v>
      </x:c>
      <x:c r="G14" s="11" t="n">
        <x:v>58.1</x:v>
      </x:c>
      <x:c r="H14" s="11"/>
      <x:c r="I14" s="5" t="str">
        <x:v>UNKNOWN</x:v>
      </x:c>
      <x:c r="J14" s="5" t="str">
        <x:v>UNKNOWN</x:v>
      </x:c>
      <x:c r="K14" s="5" t="str">
        <x:v>FAIL</x:v>
      </x:c>
      <x:c r="L14" s="12" t="str">
        <x:v>FLASH AND GHS NOT FOUND</x:v>
      </x:c>
      <x:c r="M14" s="12" t="str">
        <x:v>Exclude from this normal-boiling profile; any pressure/profile change requires a separate screen.</x:v>
      </x:c>
      <x:c r="N14" s="5" t="str">
        <x:v>CF005_nist_retry</x:v>
      </x:c>
      <x:c r="O14" s="5" t="str">
        <x:v>UNKNOWN</x:v>
      </x:c>
      <x:c r="P14" s="5" t="str">
        <x:v>Not retrieved</x:v>
      </x:c>
      <x:c r="Q14" s="5" t="str">
        <x:v>UNKNOWN</x:v>
      </x:c>
      <x:c r="R14" s="5" t="str">
        <x:v>C6H10</x:v>
      </x:c>
      <x:c r="S14" s="5" t="str">
        <x:v>95</x:v>
      </x:c>
      <x:c r="T14" s="5" t="str">
        <x:v>Not located</x:v>
      </x:c>
      <x:c r="U14" s="5" t="str">
        <x:v>Not located</x:v>
      </x:c>
    </x:row>
    <x:row r="15" ht="24" hidden="0" customHeight="1">
      <x:c r="A15" s="5" t="str">
        <x:v>CF006</x:v>
      </x:c>
      <x:c r="B15" s="5" t="str">
        <x:v>2,3-Pentadiene</x:v>
      </x:c>
      <x:c r="C15" s="5" t="str">
        <x:v>591-96-8</x:v>
      </x:c>
      <x:c r="D15" s="5" t="str">
        <x:v>Hydrocarbon</x:v>
      </x:c>
      <x:c r="E15" s="5" t="str">
        <x:v>PASS</x:v>
      </x:c>
      <x:c r="F15" s="11" t="n">
        <x:v>47.8</x:v>
      </x:c>
      <x:c r="G15" s="11" t="n">
        <x:v>48.6</x:v>
      </x:c>
      <x:c r="H15" s="11"/>
      <x:c r="I15" s="5" t="str">
        <x:v>UNKNOWN</x:v>
      </x:c>
      <x:c r="J15" s="5" t="str">
        <x:v>UNKNOWN</x:v>
      </x:c>
      <x:c r="K15" s="5" t="str">
        <x:v>UNKNOWN</x:v>
      </x:c>
      <x:c r="L15" s="12" t="str">
        <x:v>FLASH AND GHS NOT FOUND; SUPPLIER NOT VERIFIED</x:v>
      </x:c>
      <x:c r="M15" s="12" t="str">
        <x:v>Find a primary flash-point/SDS record and verify an actual supplier; do not infer safety from the missing data.</x:v>
      </x:c>
      <x:c r="N15" s="5" t="str">
        <x:v>CF006_nist</x:v>
      </x:c>
      <x:c r="O15" s="5" t="str">
        <x:v>UNKNOWN</x:v>
      </x:c>
      <x:c r="P15" s="5" t="str">
        <x:v>Not retrieved</x:v>
      </x:c>
      <x:c r="Q15" s="5" t="str">
        <x:v>UNKNOWN</x:v>
      </x:c>
      <x:c r="R15" s="5" t="str">
        <x:v>C5H8</x:v>
      </x:c>
      <x:c r="S15" s="5" t="str">
        <x:v>Not retrieved</x:v>
      </x:c>
      <x:c r="T15" s="5" t="str">
        <x:v>Other / partial range</x:v>
      </x:c>
      <x:c r="U15" s="5" t="str">
        <x:v>Located; not extracted</x:v>
      </x:c>
    </x:row>
    <x:row r="16" ht="24" hidden="0" customHeight="1">
      <x:c r="A16" s="5" t="str">
        <x:v>CF007</x:v>
      </x:c>
      <x:c r="B16" s="5" t="str">
        <x:v>1,2-Pentadiene</x:v>
      </x:c>
      <x:c r="C16" s="5" t="str">
        <x:v>591-95-7</x:v>
      </x:c>
      <x:c r="D16" s="5" t="str">
        <x:v>Hydrocarbon</x:v>
      </x:c>
      <x:c r="E16" s="5" t="str">
        <x:v>UNKNOWN</x:v>
      </x:c>
      <x:c r="F16" s="11" t="n">
        <x:v>43.85</x:v>
      </x:c>
      <x:c r="G16" s="11" t="n">
        <x:v>47.85</x:v>
      </x:c>
      <x:c r="H16" s="11" t="n">
        <x:v>-37</x:v>
      </x:c>
      <x:c r="I16" s="5" t="str">
        <x:v>EQ</x:v>
      </x:c>
      <x:c r="J16" s="5" t="str">
        <x:v>Supplier H225</x:v>
      </x:c>
      <x:c r="K16" s="5" t="str">
        <x:v>UNKNOWN</x:v>
      </x:c>
      <x:c r="L16" s="12" t="str">
        <x:v>BOILING BOUNDARY OR CONFLICT</x:v>
      </x:c>
      <x:c r="M16" s="12" t="str">
        <x:v>Resolve boiling-range evidence only if a credible application can accept the reported fire/hazard evidence.</x:v>
      </x:c>
      <x:c r="N16" s="5" t="str">
        <x:v>CF007_nist</x:v>
      </x:c>
      <x:c r="O16" s="5" t="str">
        <x:v>CF007_supplier</x:v>
      </x:c>
      <x:c r="P16" s="5" t="str">
        <x:v>45 °C</x:v>
      </x:c>
      <x:c r="Q16" s="5" t="str">
        <x:v>not specified in retrieved record</x:v>
      </x:c>
      <x:c r="R16" s="5" t="str">
        <x:v>C5H8</x:v>
      </x:c>
      <x:c r="S16" s="5" t="str">
        <x:v>| &gt;95.0%(GC)</x:v>
      </x:c>
      <x:c r="T16" s="5" t="str">
        <x:v>Other / partial range</x:v>
      </x:c>
      <x:c r="U16" s="5" t="str">
        <x:v>Located; not extracted</x:v>
      </x:c>
    </x:row>
    <x:row r="17" ht="24" hidden="0" customHeight="1">
      <x:c r="A17" s="5" t="str">
        <x:v>CF008</x:v>
      </x:c>
      <x:c r="B17" s="5" t="str">
        <x:v>Ethyl formate</x:v>
      </x:c>
      <x:c r="C17" s="5" t="str">
        <x:v>109-94-4</x:v>
      </x:c>
      <x:c r="D17" s="5" t="str">
        <x:v>Ester</x:v>
      </x:c>
      <x:c r="E17" s="5" t="str">
        <x:v>PASS</x:v>
      </x:c>
      <x:c r="F17" s="11" t="n">
        <x:v>52.85</x:v>
      </x:c>
      <x:c r="G17" s="11" t="n">
        <x:v>54.85</x:v>
      </x:c>
      <x:c r="H17" s="11" t="n">
        <x:v>-20</x:v>
      </x:c>
      <x:c r="I17" s="5" t="str">
        <x:v>EQ</x:v>
      </x:c>
      <x:c r="J17" s="5" t="str">
        <x:v>GHS Flam. Liq. 2</x:v>
      </x:c>
      <x:c r="K17" s="5" t="str">
        <x:v>UNKNOWN</x:v>
      </x:c>
      <x:c r="L17" s="12" t="str"/>
      <x:c r="M17" s="12" t="str">
        <x:v>Set the application fire requirement first; electrical, compatibility and stability evidence remain unassessed.</x:v>
      </x:c>
      <x:c r="N17" s="5" t="str">
        <x:v>CF008_nist</x:v>
      </x:c>
      <x:c r="O17" s="5" t="str">
        <x:v>CF008_supplier</x:v>
      </x:c>
      <x:c r="P17" s="5" t="str">
        <x:v>52-54 °C (lit.)</x:v>
      </x:c>
      <x:c r="Q17" s="5" t="str">
        <x:v>closed cup; test standard not specified</x:v>
      </x:c>
      <x:c r="R17" s="5" t="str">
        <x:v>C3H6O2</x:v>
      </x:c>
      <x:c r="S17" s="5" t="str">
        <x:v>97%</x:v>
      </x:c>
      <x:c r="T17" s="5" t="str">
        <x:v>Not located</x:v>
      </x:c>
      <x:c r="U17" s="5" t="str">
        <x:v>Located; not extracted</x:v>
      </x:c>
    </x:row>
    <x:row r="18" ht="24" hidden="0" customHeight="1">
      <x:c r="A18" s="5" t="str">
        <x:v>CF009</x:v>
      </x:c>
      <x:c r="B18" s="5" t="str">
        <x:v>Propanal</x:v>
      </x:c>
      <x:c r="C18" s="5" t="str">
        <x:v>123-38-6</x:v>
      </x:c>
      <x:c r="D18" s="5" t="str">
        <x:v>Aldehyde</x:v>
      </x:c>
      <x:c r="E18" s="5" t="str">
        <x:v>PASS</x:v>
      </x:c>
      <x:c r="F18" s="11" t="n">
        <x:v>46.85</x:v>
      </x:c>
      <x:c r="G18" s="11" t="n">
        <x:v>50.85</x:v>
      </x:c>
      <x:c r="H18" s="11" t="n">
        <x:v>-30</x:v>
      </x:c>
      <x:c r="I18" s="5" t="str">
        <x:v>EQ</x:v>
      </x:c>
      <x:c r="J18" s="5" t="str">
        <x:v>GHS Flam. Liq. 2</x:v>
      </x:c>
      <x:c r="K18" s="5" t="str">
        <x:v>UNKNOWN</x:v>
      </x:c>
      <x:c r="L18" s="12" t="str"/>
      <x:c r="M18" s="12" t="str">
        <x:v>Set the application fire requirement first; electrical, compatibility and stability evidence remain unassessed.</x:v>
      </x:c>
      <x:c r="N18" s="5" t="str">
        <x:v>CF009_nist</x:v>
      </x:c>
      <x:c r="O18" s="5" t="str">
        <x:v>CF009_supplier</x:v>
      </x:c>
      <x:c r="P18" s="5" t="str">
        <x:v>46-50 °C (lit.)</x:v>
      </x:c>
      <x:c r="Q18" s="5" t="str">
        <x:v>closed cup; test standard not specified</x:v>
      </x:c>
      <x:c r="R18" s="5" t="str">
        <x:v>C3H6O</x:v>
      </x:c>
      <x:c r="S18" s="5" t="str">
        <x:v>97%</x:v>
      </x:c>
      <x:c r="T18" s="5" t="str">
        <x:v>Not located</x:v>
      </x:c>
      <x:c r="U18" s="5" t="str">
        <x:v>Located; not extracted</x:v>
      </x:c>
    </x:row>
    <x:row r="19" ht="24" hidden="0" customHeight="1">
      <x:c r="A19" s="5" t="str">
        <x:v>CF010</x:v>
      </x:c>
      <x:c r="B19" s="5" t="str">
        <x:v>Acrolein</x:v>
      </x:c>
      <x:c r="C19" s="5" t="str">
        <x:v>107-02-8</x:v>
      </x:c>
      <x:c r="D19" s="5" t="str">
        <x:v>Aldehyde</x:v>
      </x:c>
      <x:c r="E19" s="5" t="str">
        <x:v>UNKNOWN</x:v>
      </x:c>
      <x:c r="F19" s="11" t="n">
        <x:v>26.85</x:v>
      </x:c>
      <x:c r="G19" s="11" t="n">
        <x:v>86.85</x:v>
      </x:c>
      <x:c r="H19" s="11" t="n">
        <x:v>-26.111111</x:v>
      </x:c>
      <x:c r="I19" s="5" t="str">
        <x:v>EQ</x:v>
      </x:c>
      <x:c r="J19" s="5" t="str">
        <x:v>NIOSH Class IB</x:v>
      </x:c>
      <x:c r="K19" s="5" t="str">
        <x:v>UNKNOWN</x:v>
      </x:c>
      <x:c r="L19" s="12" t="str">
        <x:v>BROAD NIST COMPILATION; POLYMERIZATION AND PEROXIDE WARNING; GHS NOT RETRIEVED</x:v>
      </x:c>
      <x:c r="M19" s="12" t="str">
        <x:v>Resolve boiling-range evidence only if a credible application can accept the reported fire/hazard evidence.</x:v>
      </x:c>
      <x:c r="N19" s="5" t="str">
        <x:v>CF010_nist</x:v>
      </x:c>
      <x:c r="O19" s="5" t="str">
        <x:v>CF010_niosh</x:v>
      </x:c>
      <x:c r="P19" s="5" t="str">
        <x:v>Not retrieved</x:v>
      </x:c>
      <x:c r="Q19" s="5" t="str">
        <x:v>not specified in NIOSH entry</x:v>
      </x:c>
      <x:c r="R19" s="5" t="str">
        <x:v>C3H4O</x:v>
      </x:c>
      <x:c r="S19" s="5" t="str">
        <x:v>Not retrieved</x:v>
      </x:c>
      <x:c r="T19" s="5" t="str">
        <x:v>Other / partial range</x:v>
      </x:c>
      <x:c r="U19" s="5" t="str">
        <x:v>Located; not extracted</x:v>
      </x:c>
    </x:row>
    <x:row r="20" ht="24" hidden="0" customHeight="1">
      <x:c r="A20" s="5" t="str">
        <x:v>CF011</x:v>
      </x:c>
      <x:c r="B20" s="5" t="str">
        <x:v>Oxetane</x:v>
      </x:c>
      <x:c r="C20" s="5" t="str">
        <x:v>503-30-0</x:v>
      </x:c>
      <x:c r="D20" s="5" t="str">
        <x:v>Cyclic ether</x:v>
      </x:c>
      <x:c r="E20" s="5" t="str">
        <x:v>PASS</x:v>
      </x:c>
      <x:c r="F20" s="11" t="n">
        <x:v>46.75</x:v>
      </x:c>
      <x:c r="G20" s="11" t="n">
        <x:v>50.05</x:v>
      </x:c>
      <x:c r="H20" s="11" t="n">
        <x:v>-28</x:v>
      </x:c>
      <x:c r="I20" s="5" t="str">
        <x:v>EQ</x:v>
      </x:c>
      <x:c r="J20" s="5" t="str">
        <x:v>Supplier H225</x:v>
      </x:c>
      <x:c r="K20" s="5" t="str">
        <x:v>UNKNOWN</x:v>
      </x:c>
      <x:c r="L20" s="12" t="str">
        <x:v>BOILING SOURCES DIFFER WITHIN WINDOW; COLD INERT STORAGE LISTED</x:v>
      </x:c>
      <x:c r="M20" s="12" t="str">
        <x:v>Set the application fire requirement first; electrical, compatibility and stability evidence remain unassessed.</x:v>
      </x:c>
      <x:c r="N20" s="5" t="str">
        <x:v>CF011_nist</x:v>
      </x:c>
      <x:c r="O20" s="5" t="str">
        <x:v>CF011_supplier</x:v>
      </x:c>
      <x:c r="P20" s="5" t="str">
        <x:v>50 °C</x:v>
      </x:c>
      <x:c r="Q20" s="5" t="str">
        <x:v>not specified in retrieved record</x:v>
      </x:c>
      <x:c r="R20" s="5" t="str">
        <x:v>C3H6O</x:v>
      </x:c>
      <x:c r="S20" s="5" t="str">
        <x:v>| &gt;98.0%(GC)(qNMR)</x:v>
      </x:c>
      <x:c r="T20" s="5" t="str">
        <x:v>Not located</x:v>
      </x:c>
      <x:c r="U20" s="5" t="str">
        <x:v>Located; not extracted</x:v>
      </x:c>
    </x:row>
    <x:row r="21" ht="24" hidden="0" customHeight="1">
      <x:c r="A21" s="5" t="str">
        <x:v>CF012</x:v>
      </x:c>
      <x:c r="B21" s="5" t="str">
        <x:v>Ethyl isopropyl ether</x:v>
      </x:c>
      <x:c r="C21" s="5" t="str">
        <x:v>625-54-7</x:v>
      </x:c>
      <x:c r="D21" s="5" t="str">
        <x:v>Ether</x:v>
      </x:c>
      <x:c r="E21" s="5" t="str">
        <x:v>UNKNOWN</x:v>
      </x:c>
      <x:c r="F21" s="11" t="n">
        <x:v>52.85</x:v>
      </x:c>
      <x:c r="G21" s="11" t="n">
        <x:v>95.75</x:v>
      </x:c>
      <x:c r="H21" s="11" t="n">
        <x:v>-24</x:v>
      </x:c>
      <x:c r="I21" s="5" t="str">
        <x:v>EQ</x:v>
      </x:c>
      <x:c r="J21" s="5" t="str">
        <x:v>Supplier H225</x:v>
      </x:c>
      <x:c r="K21" s="5" t="str">
        <x:v>UNKNOWN</x:v>
      </x:c>
      <x:c r="L21" s="12" t="str">
        <x:v>BOILING SOURCE CONFLICT; COLD STORAGE LISTED</x:v>
      </x:c>
      <x:c r="M21" s="12" t="str">
        <x:v>Resolve boiling-range evidence only if a credible application can accept the reported fire/hazard evidence.</x:v>
      </x:c>
      <x:c r="N21" s="5" t="str">
        <x:v>CF012_nist</x:v>
      </x:c>
      <x:c r="O21" s="5" t="str">
        <x:v>CF012_supplier</x:v>
      </x:c>
      <x:c r="P21" s="5" t="str">
        <x:v>51 °C</x:v>
      </x:c>
      <x:c r="Q21" s="5" t="str">
        <x:v>not specified in retrieved record</x:v>
      </x:c>
      <x:c r="R21" s="5" t="str">
        <x:v>C5H12O</x:v>
      </x:c>
      <x:c r="S21" s="5" t="str">
        <x:v>| &gt;98.0%(GC)</x:v>
      </x:c>
      <x:c r="T21" s="5" t="str">
        <x:v>Not located</x:v>
      </x:c>
      <x:c r="U21" s="5" t="str">
        <x:v>Located; not extracted</x:v>
      </x:c>
    </x:row>
    <x:row r="22" ht="36" hidden="0" customHeight="1">
      <x:c r="A22" s="5" t="str">
        <x:v>CF013</x:v>
      </x:c>
      <x:c r="B22" s="5" t="str">
        <x:v>2,2-Dimethyloxirane</x:v>
      </x:c>
      <x:c r="C22" s="5" t="str">
        <x:v>558-30-5</x:v>
      </x:c>
      <x:c r="D22" s="5" t="str">
        <x:v>Epoxide</x:v>
      </x:c>
      <x:c r="E22" s="5" t="str">
        <x:v>UNKNOWN</x:v>
      </x:c>
      <x:c r="F22" s="11" t="n">
        <x:v>34.85</x:v>
      </x:c>
      <x:c r="G22" s="11" t="n">
        <x:v>74.85</x:v>
      </x:c>
      <x:c r="H22" s="11" t="n">
        <x:v>-32.5</x:v>
      </x:c>
      <x:c r="I22" s="5" t="str">
        <x:v>EQ</x:v>
      </x:c>
      <x:c r="J22" s="5" t="str">
        <x:v>GHS Flam. Liq. 2</x:v>
      </x:c>
      <x:c r="K22" s="5" t="str">
        <x:v>UNKNOWN</x:v>
      </x:c>
      <x:c r="L22" s="12" t="str">
        <x:v>BROAD NIST COMPILATION; SUPPLIER CARCINOGENICITY MUTAGENICITY CORROSIVITY FLAGS</x:v>
      </x:c>
      <x:c r="M22" s="12" t="str">
        <x:v>Resolve boiling-range evidence only if a credible application can accept the reported fire/hazard evidence.</x:v>
      </x:c>
      <x:c r="N22" s="5" t="str">
        <x:v>CF013_nist</x:v>
      </x:c>
      <x:c r="O22" s="5" t="str">
        <x:v>CF013_supplier</x:v>
      </x:c>
      <x:c r="P22" s="5" t="str">
        <x:v>50-51 °C (lit.)</x:v>
      </x:c>
      <x:c r="Q22" s="5" t="str">
        <x:v>not specified in retrieved record</x:v>
      </x:c>
      <x:c r="R22" s="5" t="str">
        <x:v>C4H8O</x:v>
      </x:c>
      <x:c r="S22" s="5" t="str">
        <x:v>97%</x:v>
      </x:c>
      <x:c r="T22" s="5" t="str">
        <x:v>Full 45–55°C range</x:v>
      </x:c>
      <x:c r="U22" s="5" t="str">
        <x:v>Located; not extracted</x:v>
      </x:c>
    </x:row>
    <x:row r="23" ht="24" hidden="0" customHeight="1">
      <x:c r="A23" s="5" t="str">
        <x:v>CF014</x:v>
      </x:c>
      <x:c r="B23" s="5" t="str">
        <x:v>trans-2,3-Epoxybutane</x:v>
      </x:c>
      <x:c r="C23" s="5" t="str">
        <x:v>21490-63-1</x:v>
      </x:c>
      <x:c r="D23" s="5" t="str">
        <x:v>Epoxide</x:v>
      </x:c>
      <x:c r="E23" s="5" t="str">
        <x:v>UNKNOWN</x:v>
      </x:c>
      <x:c r="F23" s="11" t="n">
        <x:v>53.85</x:v>
      </x:c>
      <x:c r="G23" s="11" t="n">
        <x:v>60</x:v>
      </x:c>
      <x:c r="H23" s="11" t="n">
        <x:v>-27</x:v>
      </x:c>
      <x:c r="I23" s="5" t="str">
        <x:v>EQ</x:v>
      </x:c>
      <x:c r="J23" s="5" t="str">
        <x:v>GHS Flam. Liq. 2</x:v>
      </x:c>
      <x:c r="K23" s="5" t="str">
        <x:v>UNKNOWN</x:v>
      </x:c>
      <x:c r="L23" s="12" t="str">
        <x:v>BOILING SOURCE CONFLICT</x:v>
      </x:c>
      <x:c r="M23" s="12" t="str">
        <x:v>Resolve boiling-range evidence only if a credible application can accept the reported fire/hazard evidence.</x:v>
      </x:c>
      <x:c r="N23" s="5" t="str">
        <x:v>CF014_nist</x:v>
      </x:c>
      <x:c r="O23" s="5" t="str">
        <x:v>CF014_supplier</x:v>
      </x:c>
      <x:c r="P23" s="5" t="str">
        <x:v>54-55 °C (lit.)</x:v>
      </x:c>
      <x:c r="Q23" s="5" t="str">
        <x:v>closed cup; test standard not specified</x:v>
      </x:c>
      <x:c r="R23" s="5" t="str">
        <x:v>C4H8O</x:v>
      </x:c>
      <x:c r="S23" s="5" t="str">
        <x:v>Not retrieved</x:v>
      </x:c>
      <x:c r="T23" s="5" t="str">
        <x:v>Not located</x:v>
      </x:c>
      <x:c r="U23" s="5" t="str">
        <x:v>Not located</x:v>
      </x:c>
    </x:row>
    <x:row r="24" ht="24" hidden="0" customHeight="1">
      <x:c r="A24" s="5" t="str">
        <x:v>CF015</x:v>
      </x:c>
      <x:c r="B24" s="5" t="str">
        <x:v>Carbon disulfide</x:v>
      </x:c>
      <x:c r="C24" s="5" t="str">
        <x:v>75-15-0</x:v>
      </x:c>
      <x:c r="D24" s="5" t="str">
        <x:v>Sulfur compound</x:v>
      </x:c>
      <x:c r="E24" s="5" t="str">
        <x:v>PASS</x:v>
      </x:c>
      <x:c r="F24" s="11" t="n">
        <x:v>45.45</x:v>
      </x:c>
      <x:c r="G24" s="11" t="n">
        <x:v>46.65</x:v>
      </x:c>
      <x:c r="H24" s="11" t="n">
        <x:v>-30</x:v>
      </x:c>
      <x:c r="I24" s="5" t="str">
        <x:v>EQ</x:v>
      </x:c>
      <x:c r="J24" s="5" t="str">
        <x:v>GHS Flam. Liq. 2</x:v>
      </x:c>
      <x:c r="K24" s="5" t="str">
        <x:v>UNKNOWN</x:v>
      </x:c>
      <x:c r="L24" s="12" t="str"/>
      <x:c r="M24" s="12" t="str">
        <x:v>Set the application fire requirement first; electrical, compatibility and stability evidence remain unassessed.</x:v>
      </x:c>
      <x:c r="N24" s="5" t="str">
        <x:v>CF015_nist</x:v>
      </x:c>
      <x:c r="O24" s="5" t="str">
        <x:v>CF015_supplier</x:v>
      </x:c>
      <x:c r="P24" s="5" t="str">
        <x:v>46 °C (lit.)</x:v>
      </x:c>
      <x:c r="Q24" s="5" t="str">
        <x:v>not specified in retrieved record</x:v>
      </x:c>
      <x:c r="R24" s="5" t="str">
        <x:v>CS2</x:v>
      </x:c>
      <x:c r="S24" s="5" t="str">
        <x:v>≥99.9% (GC)</x:v>
      </x:c>
      <x:c r="T24" s="5" t="str">
        <x:v>Full 45–55°C range</x:v>
      </x:c>
      <x:c r="U24" s="5" t="str">
        <x:v>Located; not extracted</x:v>
      </x:c>
    </x:row>
    <x:row r="25" ht="24" hidden="0" customHeight="1">
      <x:c r="A25" s="5" t="str">
        <x:v>CF016</x:v>
      </x:c>
      <x:c r="B25" s="5" t="str">
        <x:v>2-Propanethiol</x:v>
      </x:c>
      <x:c r="C25" s="5" t="str">
        <x:v>75-33-2</x:v>
      </x:c>
      <x:c r="D25" s="5" t="str">
        <x:v>Thiol</x:v>
      </x:c>
      <x:c r="E25" s="5" t="str">
        <x:v>UNKNOWN</x:v>
      </x:c>
      <x:c r="F25" s="11" t="n">
        <x:v>49.85</x:v>
      </x:c>
      <x:c r="G25" s="11" t="n">
        <x:v>59.85</x:v>
      </x:c>
      <x:c r="H25" s="11" t="n">
        <x:v>-31</x:v>
      </x:c>
      <x:c r="I25" s="5" t="str">
        <x:v>EQ</x:v>
      </x:c>
      <x:c r="J25" s="5" t="str">
        <x:v>GHS Flam. Liq. 2</x:v>
      </x:c>
      <x:c r="K25" s="5" t="str">
        <x:v>UNKNOWN</x:v>
      </x:c>
      <x:c r="L25" s="12" t="str">
        <x:v>BROAD NIST COMPILATION; SUPPLIER AQUATIC HAZARD FLAGS</x:v>
      </x:c>
      <x:c r="M25" s="12" t="str">
        <x:v>Resolve boiling-range evidence only if a credible application can accept the reported fire/hazard evidence.</x:v>
      </x:c>
      <x:c r="N25" s="5" t="str">
        <x:v>CF016_nist</x:v>
      </x:c>
      <x:c r="O25" s="5" t="str">
        <x:v>CF016_supplier</x:v>
      </x:c>
      <x:c r="P25" s="5" t="str">
        <x:v>52.6 °C/1013 hPa</x:v>
      </x:c>
      <x:c r="Q25" s="5" t="str">
        <x:v>not specified in retrieved record</x:v>
      </x:c>
      <x:c r="R25" s="5" t="str">
        <x:v>C3H8S</x:v>
      </x:c>
      <x:c r="S25" s="5" t="str">
        <x:v>≥98.0% (GC)</x:v>
      </x:c>
      <x:c r="T25" s="5" t="str">
        <x:v>Full 45–55°C range</x:v>
      </x:c>
      <x:c r="U25" s="5" t="str">
        <x:v>Located; not extracted</x:v>
      </x:c>
    </x:row>
    <x:row r="26" ht="24" hidden="0" customHeight="1">
      <x:c r="A26" s="5" t="str">
        <x:v>CF017</x:v>
      </x:c>
      <x:c r="B26" s="5" t="str">
        <x:v>n-Propylamine</x:v>
      </x:c>
      <x:c r="C26" s="5" t="str">
        <x:v>107-10-8</x:v>
      </x:c>
      <x:c r="D26" s="5" t="str">
        <x:v>Amine</x:v>
      </x:c>
      <x:c r="E26" s="5" t="str">
        <x:v>PASS</x:v>
      </x:c>
      <x:c r="F26" s="11" t="n">
        <x:v>46.85</x:v>
      </x:c>
      <x:c r="G26" s="11" t="n">
        <x:v>50.85</x:v>
      </x:c>
      <x:c r="H26" s="11" t="n">
        <x:v>-35</x:v>
      </x:c>
      <x:c r="I26" s="5" t="str">
        <x:v>&lt;</x:v>
      </x:c>
      <x:c r="J26" s="5" t="str">
        <x:v>GHS Flam. Liq. 2</x:v>
      </x:c>
      <x:c r="K26" s="5" t="str">
        <x:v>UNKNOWN</x:v>
      </x:c>
      <x:c r="L26" s="12" t="str">
        <x:v>SUPPLIER ACUTE TOXICITY AND CORROSIVITY FLAGS</x:v>
      </x:c>
      <x:c r="M26" s="12" t="str">
        <x:v>Set the application fire requirement first; electrical, compatibility and stability evidence remain unassessed.</x:v>
      </x:c>
      <x:c r="N26" s="5" t="str">
        <x:v>CF017_nist</x:v>
      </x:c>
      <x:c r="O26" s="5" t="str">
        <x:v>CF017_supplier</x:v>
      </x:c>
      <x:c r="P26" s="5" t="str">
        <x:v>48 °C (lit.)</x:v>
      </x:c>
      <x:c r="Q26" s="5" t="str">
        <x:v>not specified in retrieved record</x:v>
      </x:c>
      <x:c r="R26" s="5" t="str">
        <x:v>C3H9N</x:v>
      </x:c>
      <x:c r="S26" s="5" t="str">
        <x:v>98%</x:v>
      </x:c>
      <x:c r="T26" s="5" t="str">
        <x:v>Full 45–55°C range</x:v>
      </x:c>
      <x:c r="U26" s="5" t="str">
        <x:v>Located; not extracted</x:v>
      </x:c>
    </x:row>
    <x:row r="27" ht="36" hidden="0" customHeight="1">
      <x:c r="A27" s="5" t="str">
        <x:v>CF018</x:v>
      </x:c>
      <x:c r="B27" s="5" t="str">
        <x:v>trans-1,2-Dichloroethylene</x:v>
      </x:c>
      <x:c r="C27" s="5" t="str">
        <x:v>156-60-5</x:v>
      </x:c>
      <x:c r="D27" s="5" t="str">
        <x:v>Chlorinated alkene</x:v>
      </x:c>
      <x:c r="E27" s="5" t="str">
        <x:v>PASS</x:v>
      </x:c>
      <x:c r="F27" s="11" t="n">
        <x:v>45.85</x:v>
      </x:c>
      <x:c r="G27" s="11" t="n">
        <x:v>49.85</x:v>
      </x:c>
      <x:c r="H27" s="11" t="n">
        <x:v>6</x:v>
      </x:c>
      <x:c r="I27" s="5" t="str">
        <x:v>EQ</x:v>
      </x:c>
      <x:c r="J27" s="5" t="str">
        <x:v>GHS Flam. Liq. 2</x:v>
      </x:c>
      <x:c r="K27" s="5" t="str">
        <x:v>UNKNOWN</x:v>
      </x:c>
      <x:c r="L27" s="12" t="str">
        <x:v>FLASH ABOVE ZERO BUT FLAMMABLE; FLASH SOURCE DISAGREEMENT; ALT SDS METHOD CONFLICT</x:v>
      </x:c>
      <x:c r="M27" s="12" t="str">
        <x:v>Resolve flash-point method/source discrepancy; define the application fire requirement before any advance.</x:v>
      </x:c>
      <x:c r="N27" s="5" t="str">
        <x:v>CF018_nist</x:v>
      </x:c>
      <x:c r="O27" s="5" t="str">
        <x:v>CF018_supplier</x:v>
      </x:c>
      <x:c r="P27" s="5" t="str">
        <x:v>48 °C (lit.)</x:v>
      </x:c>
      <x:c r="Q27" s="5" t="str">
        <x:v>closed cup; test standard not specified</x:v>
      </x:c>
      <x:c r="R27" s="5" t="str">
        <x:v>C2H2Cl2</x:v>
      </x:c>
      <x:c r="S27" s="5" t="str">
        <x:v>98%</x:v>
      </x:c>
      <x:c r="T27" s="5" t="str">
        <x:v>Full 45–55°C range</x:v>
      </x:c>
      <x:c r="U27" s="5" t="str">
        <x:v>Located; not extracted</x:v>
      </x:c>
    </x:row>
    <x:row r="28" ht="24" hidden="0" customHeight="1">
      <x:c r="A28" s="5" t="str">
        <x:v>CF019</x:v>
      </x:c>
      <x:c r="B28" s="5" t="str">
        <x:v>1-Chloropropane</x:v>
      </x:c>
      <x:c r="C28" s="5" t="str">
        <x:v>540-54-5</x:v>
      </x:c>
      <x:c r="D28" s="5" t="str">
        <x:v>Chlorinated alkane</x:v>
      </x:c>
      <x:c r="E28" s="5" t="str">
        <x:v>PASS</x:v>
      </x:c>
      <x:c r="F28" s="11" t="n">
        <x:v>45.85</x:v>
      </x:c>
      <x:c r="G28" s="11" t="n">
        <x:v>47.85</x:v>
      </x:c>
      <x:c r="H28" s="11" t="n">
        <x:v>-18</x:v>
      </x:c>
      <x:c r="I28" s="5" t="str">
        <x:v>EQ</x:v>
      </x:c>
      <x:c r="J28" s="5" t="str">
        <x:v>GHS Flam. Liq. 2</x:v>
      </x:c>
      <x:c r="K28" s="5" t="str">
        <x:v>UNKNOWN</x:v>
      </x:c>
      <x:c r="L28" s="12" t="str"/>
      <x:c r="M28" s="12" t="str">
        <x:v>Set the application fire requirement first; electrical, compatibility and stability evidence remain unassessed.</x:v>
      </x:c>
      <x:c r="N28" s="5" t="str">
        <x:v>CF019_nist</x:v>
      </x:c>
      <x:c r="O28" s="5" t="str">
        <x:v>CF019_supplier</x:v>
      </x:c>
      <x:c r="P28" s="5" t="str">
        <x:v>Not retrieved</x:v>
      </x:c>
      <x:c r="Q28" s="5" t="str">
        <x:v>not specified in retrieved record</x:v>
      </x:c>
      <x:c r="R28" s="5" t="str">
        <x:v>C3H7Cl</x:v>
      </x:c>
      <x:c r="S28" s="5" t="str">
        <x:v>≥98.0% (GC)</x:v>
      </x:c>
      <x:c r="T28" s="5" t="str">
        <x:v>Other / partial range</x:v>
      </x:c>
      <x:c r="U28" s="5" t="str">
        <x:v>Located; not extracted</x:v>
      </x:c>
    </x:row>
    <x:row r="29" ht="24" hidden="0" customHeight="1">
      <x:c r="A29" s="5" t="str">
        <x:v>CF020</x:v>
      </x:c>
      <x:c r="B29" s="5" t="str">
        <x:v>tert-Butyl chloride</x:v>
      </x:c>
      <x:c r="C29" s="5" t="str">
        <x:v>507-20-0</x:v>
      </x:c>
      <x:c r="D29" s="5" t="str">
        <x:v>Chlorinated alkane</x:v>
      </x:c>
      <x:c r="E29" s="5" t="str">
        <x:v>PASS</x:v>
      </x:c>
      <x:c r="F29" s="11" t="n">
        <x:v>50.05</x:v>
      </x:c>
      <x:c r="G29" s="11" t="n">
        <x:v>51.85</x:v>
      </x:c>
      <x:c r="H29" s="11" t="n">
        <x:v>-26</x:v>
      </x:c>
      <x:c r="I29" s="5" t="str">
        <x:v>EQ</x:v>
      </x:c>
      <x:c r="J29" s="5" t="str">
        <x:v>GHS Flam. Liq. 2</x:v>
      </x:c>
      <x:c r="K29" s="5" t="str">
        <x:v>UNKNOWN</x:v>
      </x:c>
      <x:c r="L29" s="12" t="str"/>
      <x:c r="M29" s="12" t="str">
        <x:v>Set the application fire requirement first; electrical, compatibility and stability evidence remain unassessed.</x:v>
      </x:c>
      <x:c r="N29" s="5" t="str">
        <x:v>CF020_nist</x:v>
      </x:c>
      <x:c r="O29" s="5" t="str">
        <x:v>CF020_supplier</x:v>
      </x:c>
      <x:c r="P29" s="5" t="str">
        <x:v>51-52 °C (lit.)</x:v>
      </x:c>
      <x:c r="Q29" s="5" t="str">
        <x:v>closed cup; test standard not specified</x:v>
      </x:c>
      <x:c r="R29" s="5" t="str">
        <x:v>C4H9Cl</x:v>
      </x:c>
      <x:c r="S29" s="5" t="str">
        <x:v>99%</x:v>
      </x:c>
      <x:c r="T29" s="5" t="str">
        <x:v>Other / partial range</x:v>
      </x:c>
      <x:c r="U29" s="5" t="str">
        <x:v>Located; not extracted</x:v>
      </x:c>
    </x:row>
    <x:row r="30" ht="24" hidden="0" customHeight="1">
      <x:c r="A30" s="5" t="str">
        <x:v>CF021</x:v>
      </x:c>
      <x:c r="B30" s="5" t="str">
        <x:v>Methyl tert-butyl ether</x:v>
      </x:c>
      <x:c r="C30" s="5" t="str">
        <x:v>1634-04-4</x:v>
      </x:c>
      <x:c r="D30" s="5" t="str">
        <x:v>Ether</x:v>
      </x:c>
      <x:c r="E30" s="5" t="str">
        <x:v>UNKNOWN</x:v>
      </x:c>
      <x:c r="F30" s="11" t="n">
        <x:v>54.85</x:v>
      </x:c>
      <x:c r="G30" s="11" t="n">
        <x:v>55.25</x:v>
      </x:c>
      <x:c r="H30" s="11" t="n">
        <x:v>-28</x:v>
      </x:c>
      <x:c r="I30" s="5" t="str">
        <x:v>EQ</x:v>
      </x:c>
      <x:c r="J30" s="5" t="str">
        <x:v>GHS Flam. Liq. 2</x:v>
      </x:c>
      <x:c r="K30" s="5" t="str">
        <x:v>UNKNOWN</x:v>
      </x:c>
      <x:c r="L30" s="12" t="str">
        <x:v>UPPER BOUNDARY</x:v>
      </x:c>
      <x:c r="M30" s="12" t="str">
        <x:v>Resolve boiling-range evidence only if a credible application can accept the reported fire/hazard evidence.</x:v>
      </x:c>
      <x:c r="N30" s="5" t="str">
        <x:v>CF021_nist</x:v>
      </x:c>
      <x:c r="O30" s="5" t="str">
        <x:v>CF021_supplier</x:v>
      </x:c>
      <x:c r="P30" s="5" t="str">
        <x:v>55-56 °C (lit.)</x:v>
      </x:c>
      <x:c r="Q30" s="5" t="str">
        <x:v>closed cup; test standard not specified</x:v>
      </x:c>
      <x:c r="R30" s="5" t="str">
        <x:v>C5H12O</x:v>
      </x:c>
      <x:c r="S30" s="5" t="str">
        <x:v>99.8%</x:v>
      </x:c>
      <x:c r="T30" s="5" t="str">
        <x:v>Not located</x:v>
      </x:c>
      <x:c r="U30" s="5" t="str">
        <x:v>Located; not extracted</x:v>
      </x:c>
    </x:row>
    <x:row r="31" ht="24" hidden="0" customHeight="1">
      <x:c r="A31" s="5" t="str">
        <x:v>CF022</x:v>
      </x:c>
      <x:c r="B31" s="5" t="str">
        <x:v>Diethylamine</x:v>
      </x:c>
      <x:c r="C31" s="5" t="str">
        <x:v>109-89-7</x:v>
      </x:c>
      <x:c r="D31" s="5" t="str">
        <x:v>Amine</x:v>
      </x:c>
      <x:c r="E31" s="5" t="str">
        <x:v>UNKNOWN</x:v>
      </x:c>
      <x:c r="F31" s="11" t="n">
        <x:v>54.75</x:v>
      </x:c>
      <x:c r="G31" s="11" t="n">
        <x:v>56.35</x:v>
      </x:c>
      <x:c r="H31" s="11" t="n">
        <x:v>-26</x:v>
      </x:c>
      <x:c r="I31" s="5" t="str">
        <x:v>EQ</x:v>
      </x:c>
      <x:c r="J31" s="5" t="str">
        <x:v>GHS Flam. Liq. 2</x:v>
      </x:c>
      <x:c r="K31" s="5" t="str">
        <x:v>UNKNOWN</x:v>
      </x:c>
      <x:c r="L31" s="12" t="str">
        <x:v>UPPER BOUNDARY</x:v>
      </x:c>
      <x:c r="M31" s="12" t="str">
        <x:v>Resolve boiling-range evidence only if a credible application can accept the reported fire/hazard evidence.</x:v>
      </x:c>
      <x:c r="N31" s="5" t="str">
        <x:v>CF022_nist</x:v>
      </x:c>
      <x:c r="O31" s="5" t="str">
        <x:v>CF022_supplier</x:v>
      </x:c>
      <x:c r="P31" s="5" t="str">
        <x:v>55 °C (lit.)</x:v>
      </x:c>
      <x:c r="Q31" s="5" t="str">
        <x:v>closed cup; test standard not specified</x:v>
      </x:c>
      <x:c r="R31" s="5" t="str">
        <x:v>C4H11N</x:v>
      </x:c>
      <x:c r="S31" s="5" t="str">
        <x:v>98%</x:v>
      </x:c>
      <x:c r="T31" s="5" t="str">
        <x:v>Full 45–55°C range</x:v>
      </x:c>
      <x:c r="U31" s="5" t="str">
        <x:v>Located; not extracted</x:v>
      </x:c>
    </x:row>
    <x:row r="32" ht="24" hidden="0" customHeight="1">
      <x:c r="A32" s="5" t="str">
        <x:v>CF023</x:v>
      </x:c>
      <x:c r="B32" s="5" t="str">
        <x:v>Aziridine</x:v>
      </x:c>
      <x:c r="C32" s="5" t="str">
        <x:v>151-56-4</x:v>
      </x:c>
      <x:c r="D32" s="5" t="str">
        <x:v>Cyclic amine</x:v>
      </x:c>
      <x:c r="E32" s="5" t="str">
        <x:v>UNKNOWN</x:v>
      </x:c>
      <x:c r="F32" s="11" t="n">
        <x:v>53.85</x:v>
      </x:c>
      <x:c r="G32" s="11" t="n">
        <x:v>57.85</x:v>
      </x:c>
      <x:c r="H32" s="11" t="n">
        <x:v>-11.111111</x:v>
      </x:c>
      <x:c r="I32" s="5" t="str">
        <x:v>EQ</x:v>
      </x:c>
      <x:c r="J32" s="5" t="str">
        <x:v>NIOSH Class IB</x:v>
      </x:c>
      <x:c r="K32" s="5" t="str">
        <x:v>UNKNOWN</x:v>
      </x:c>
      <x:c r="L32" s="12" t="str">
        <x:v>UPPER BOUNDARY; NIOSH POLYMERIZATION AND CARCINOGEN WARNING; GHS NOT RETRIEVED</x:v>
      </x:c>
      <x:c r="M32" s="12" t="str">
        <x:v>Resolve boiling-range evidence only if a credible application can accept the reported fire/hazard evidence.</x:v>
      </x:c>
      <x:c r="N32" s="5" t="str">
        <x:v>CF023_nist</x:v>
      </x:c>
      <x:c r="O32" s="5" t="str">
        <x:v>CF023_niosh</x:v>
      </x:c>
      <x:c r="P32" s="5" t="str">
        <x:v>Not retrieved</x:v>
      </x:c>
      <x:c r="Q32" s="5" t="str">
        <x:v>not specified in NIOSH entry</x:v>
      </x:c>
      <x:c r="R32" s="5" t="str">
        <x:v>C2H5N</x:v>
      </x:c>
      <x:c r="S32" s="5" t="str">
        <x:v>Not retrieved</x:v>
      </x:c>
      <x:c r="T32" s="5" t="str">
        <x:v>Not located</x:v>
      </x:c>
      <x:c r="U32" s="5" t="str">
        <x:v>Located; not extracted</x:v>
      </x:c>
    </x:row>
    <x:row r="33" ht="24" hidden="0" customHeight="1">
      <x:c r="A33" s="5" t="str">
        <x:v>CF024</x:v>
      </x:c>
      <x:c r="B33" s="5" t="str">
        <x:v>Acetone</x:v>
      </x:c>
      <x:c r="C33" s="5" t="str">
        <x:v>67-64-1</x:v>
      </x:c>
      <x:c r="D33" s="5" t="str">
        <x:v>Ketone</x:v>
      </x:c>
      <x:c r="E33" s="5" t="str">
        <x:v>FAIL</x:v>
      </x:c>
      <x:c r="F33" s="11" t="n">
        <x:v>55.85</x:v>
      </x:c>
      <x:c r="G33" s="11" t="n">
        <x:v>56.45</x:v>
      </x:c>
      <x:c r="H33" s="11" t="n">
        <x:v>-17</x:v>
      </x:c>
      <x:c r="I33" s="5" t="str">
        <x:v>EQ</x:v>
      </x:c>
      <x:c r="J33" s="5" t="str">
        <x:v>GHS Flam. Liq. 2</x:v>
      </x:c>
      <x:c r="K33" s="5" t="str">
        <x:v>FAIL</x:v>
      </x:c>
      <x:c r="L33" s="12" t="str"/>
      <x:c r="M33" s="12" t="str">
        <x:v>Exclude from this normal-boiling profile; any pressure/profile change requires a separate screen.</x:v>
      </x:c>
      <x:c r="N33" s="5" t="str">
        <x:v>CF024_nist</x:v>
      </x:c>
      <x:c r="O33" s="5" t="str">
        <x:v>CF024_supplier</x:v>
      </x:c>
      <x:c r="P33" s="5" t="str">
        <x:v>56 °C/760 mmHg (lit.)</x:v>
      </x:c>
      <x:c r="Q33" s="5" t="str">
        <x:v>closed cup; test standard not specified</x:v>
      </x:c>
      <x:c r="R33" s="5" t="str">
        <x:v>C3H6O</x:v>
      </x:c>
      <x:c r="S33" s="5" t="str">
        <x:v>≥99.5%</x:v>
      </x:c>
      <x:c r="T33" s="5" t="str">
        <x:v>Full 45–55°C range</x:v>
      </x:c>
      <x:c r="U33" s="5" t="str">
        <x:v>Located; not extracted</x:v>
      </x:c>
    </x:row>
    <x:row r="34" ht="24" hidden="0" customHeight="1">
      <x:c r="A34" s="5" t="str">
        <x:v>CF025</x:v>
      </x:c>
      <x:c r="B34" s="5" t="str">
        <x:v>Methyl acetate</x:v>
      </x:c>
      <x:c r="C34" s="5" t="str">
        <x:v>79-20-9</x:v>
      </x:c>
      <x:c r="D34" s="5" t="str">
        <x:v>Ester</x:v>
      </x:c>
      <x:c r="E34" s="5" t="str">
        <x:v>FAIL</x:v>
      </x:c>
      <x:c r="F34" s="11" t="n">
        <x:v>55.95</x:v>
      </x:c>
      <x:c r="G34" s="11" t="n">
        <x:v>57.75</x:v>
      </x:c>
      <x:c r="H34" s="11" t="n">
        <x:v>-13</x:v>
      </x:c>
      <x:c r="I34" s="5" t="str">
        <x:v>EQ</x:v>
      </x:c>
      <x:c r="J34" s="5" t="str">
        <x:v>GHS Flam. Liq. 2</x:v>
      </x:c>
      <x:c r="K34" s="5" t="str">
        <x:v>FAIL</x:v>
      </x:c>
      <x:c r="L34" s="12" t="str"/>
      <x:c r="M34" s="12" t="str">
        <x:v>Exclude from this normal-boiling profile; any pressure/profile change requires a separate screen.</x:v>
      </x:c>
      <x:c r="N34" s="5" t="str">
        <x:v>CF025_nist</x:v>
      </x:c>
      <x:c r="O34" s="5" t="str">
        <x:v>CF025_supplier</x:v>
      </x:c>
      <x:c r="P34" s="5" t="str">
        <x:v>57-58 °C (lit.)</x:v>
      </x:c>
      <x:c r="Q34" s="5" t="str">
        <x:v>closed cup; test standard not specified</x:v>
      </x:c>
      <x:c r="R34" s="5" t="str">
        <x:v>C3H6O2</x:v>
      </x:c>
      <x:c r="S34" s="5" t="str">
        <x:v>99.5%</x:v>
      </x:c>
      <x:c r="T34" s="5" t="str">
        <x:v>Full 45–55°C range</x:v>
      </x:c>
      <x:c r="U34" s="5" t="str">
        <x:v>Located; not extracted</x:v>
      </x:c>
    </x:row>
    <x:row r="35" ht="24" hidden="0" customHeight="1">
      <x:c r="A35" s="5" t="str">
        <x:v>CF026</x:v>
      </x:c>
      <x:c r="B35" s="5" t="str">
        <x:v>Cyclopentene</x:v>
      </x:c>
      <x:c r="C35" s="5" t="str">
        <x:v>142-29-0</x:v>
      </x:c>
      <x:c r="D35" s="5" t="str">
        <x:v>Hydrocarbon</x:v>
      </x:c>
      <x:c r="E35" s="5" t="str">
        <x:v>UNKNOWN</x:v>
      </x:c>
      <x:c r="F35" s="11" t="n">
        <x:v>41.85</x:v>
      </x:c>
      <x:c r="G35" s="11" t="n">
        <x:v>45.85</x:v>
      </x:c>
      <x:c r="H35" s="11" t="n">
        <x:v>-34.4</x:v>
      </x:c>
      <x:c r="I35" s="5" t="str">
        <x:v>EQ</x:v>
      </x:c>
      <x:c r="J35" s="5" t="str">
        <x:v>GHS Flam. Liq. 2</x:v>
      </x:c>
      <x:c r="K35" s="5" t="str">
        <x:v>UNKNOWN</x:v>
      </x:c>
      <x:c r="L35" s="12" t="str">
        <x:v>LOWER BOUNDARY</x:v>
      </x:c>
      <x:c r="M35" s="12" t="str">
        <x:v>Resolve boiling-range evidence only if a credible application can accept the reported fire/hazard evidence.</x:v>
      </x:c>
      <x:c r="N35" s="5" t="str">
        <x:v>CF026_nist</x:v>
      </x:c>
      <x:c r="O35" s="5" t="str">
        <x:v>CF026_supplier</x:v>
      </x:c>
      <x:c r="P35" s="5" t="str">
        <x:v>44-46 °C (lit.)</x:v>
      </x:c>
      <x:c r="Q35" s="5" t="str">
        <x:v>closed cup; test standard not specified</x:v>
      </x:c>
      <x:c r="R35" s="5" t="str">
        <x:v>C5H8</x:v>
      </x:c>
      <x:c r="S35" s="5" t="str">
        <x:v>96%</x:v>
      </x:c>
      <x:c r="T35" s="5" t="str">
        <x:v>Not located</x:v>
      </x:c>
      <x:c r="U35" s="5" t="str">
        <x:v>Located; not extracted</x:v>
      </x:c>
    </x:row>
    <x:row r="36" ht="24" hidden="0" customHeight="1">
      <x:c r="A36" s="5" t="str">
        <x:v>CF027</x:v>
      </x:c>
      <x:c r="B36" s="5" t="str">
        <x:v>2-Pentyne</x:v>
      </x:c>
      <x:c r="C36" s="5" t="str">
        <x:v>627-21-4</x:v>
      </x:c>
      <x:c r="D36" s="5" t="str">
        <x:v>Hydrocarbon</x:v>
      </x:c>
      <x:c r="E36" s="5" t="str">
        <x:v>UNKNOWN</x:v>
      </x:c>
      <x:c r="F36" s="11" t="n">
        <x:v>54.95</x:v>
      </x:c>
      <x:c r="G36" s="11" t="n">
        <x:v>56.75</x:v>
      </x:c>
      <x:c r="H36" s="11" t="n">
        <x:v>-31</x:v>
      </x:c>
      <x:c r="I36" s="5" t="str">
        <x:v>EQ</x:v>
      </x:c>
      <x:c r="J36" s="5" t="str">
        <x:v>GHS Flam. Liq. 2</x:v>
      </x:c>
      <x:c r="K36" s="5" t="str">
        <x:v>UNKNOWN</x:v>
      </x:c>
      <x:c r="L36" s="12" t="str">
        <x:v>UPPER BOUNDARY</x:v>
      </x:c>
      <x:c r="M36" s="12" t="str">
        <x:v>Resolve boiling-range evidence only if a credible application can accept the reported fire/hazard evidence.</x:v>
      </x:c>
      <x:c r="N36" s="5" t="str">
        <x:v>CF027_nist</x:v>
      </x:c>
      <x:c r="O36" s="5" t="str">
        <x:v>CF027_supplier</x:v>
      </x:c>
      <x:c r="P36" s="5" t="str">
        <x:v>56-57 °C (lit.)</x:v>
      </x:c>
      <x:c r="Q36" s="5" t="str">
        <x:v>closed cup; test standard not specified</x:v>
      </x:c>
      <x:c r="R36" s="5" t="str">
        <x:v>C5H8</x:v>
      </x:c>
      <x:c r="S36" s="5" t="str">
        <x:v>98%</x:v>
      </x:c>
      <x:c r="T36" s="5" t="str">
        <x:v>Not located</x:v>
      </x:c>
      <x:c r="U36" s="5" t="str">
        <x:v>Located; not extracted</x:v>
      </x:c>
    </x:row>
    <x:row r="37" ht="24" hidden="0" customHeight="1">
      <x:c r="A37" s="5" t="str">
        <x:v>CF028</x:v>
      </x:c>
      <x:c r="B37" s="5" t="str">
        <x:v>2,3-Dimethyl-1-butene</x:v>
      </x:c>
      <x:c r="C37" s="5" t="str">
        <x:v>563-78-0</x:v>
      </x:c>
      <x:c r="D37" s="5" t="str">
        <x:v>Hydrocarbon</x:v>
      </x:c>
      <x:c r="E37" s="5" t="str">
        <x:v>FAIL</x:v>
      </x:c>
      <x:c r="F37" s="11" t="n">
        <x:v>55.25</x:v>
      </x:c>
      <x:c r="G37" s="11" t="n">
        <x:v>56.45</x:v>
      </x:c>
      <x:c r="H37" s="11" t="n">
        <x:v>-18</x:v>
      </x:c>
      <x:c r="I37" s="5" t="str">
        <x:v>EQ</x:v>
      </x:c>
      <x:c r="J37" s="5" t="str">
        <x:v>GHS Flam. Liq. 2</x:v>
      </x:c>
      <x:c r="K37" s="5" t="str">
        <x:v>FAIL</x:v>
      </x:c>
      <x:c r="L37" s="12" t="str"/>
      <x:c r="M37" s="12" t="str">
        <x:v>Exclude from this normal-boiling profile; any pressure/profile change requires a separate screen.</x:v>
      </x:c>
      <x:c r="N37" s="5" t="str">
        <x:v>CF028_nist</x:v>
      </x:c>
      <x:c r="O37" s="5" t="str">
        <x:v>CF028_supplier</x:v>
      </x:c>
      <x:c r="P37" s="5" t="str">
        <x:v>56 °C (lit.)</x:v>
      </x:c>
      <x:c r="Q37" s="5" t="str">
        <x:v>closed cup; test standard not specified</x:v>
      </x:c>
      <x:c r="R37" s="5" t="str">
        <x:v>C6H12</x:v>
      </x:c>
      <x:c r="S37" s="5" t="str">
        <x:v>97%</x:v>
      </x:c>
      <x:c r="T37" s="5" t="str">
        <x:v>Not located</x:v>
      </x:c>
      <x:c r="U37" s="5" t="str">
        <x:v>Located; not extracted</x:v>
      </x:c>
    </x:row>
    <x:row r="38" ht="24" hidden="0" customHeight="1">
      <x:c r="A38" s="5" t="str">
        <x:v>CF029</x:v>
      </x:c>
      <x:c r="B38" s="5" t="str">
        <x:v>1,1-Dichloroethane</x:v>
      </x:c>
      <x:c r="C38" s="5" t="str">
        <x:v>75-34-3</x:v>
      </x:c>
      <x:c r="D38" s="5" t="str">
        <x:v>Chlorinated alkane</x:v>
      </x:c>
      <x:c r="E38" s="5" t="str">
        <x:v>FAIL</x:v>
      </x:c>
      <x:c r="F38" s="11" t="n">
        <x:v>56.85</x:v>
      </x:c>
      <x:c r="G38" s="11" t="n">
        <x:v>57.85</x:v>
      </x:c>
      <x:c r="H38" s="11" t="n">
        <x:v>-10</x:v>
      </x:c>
      <x:c r="I38" s="5" t="str">
        <x:v>EQ</x:v>
      </x:c>
      <x:c r="J38" s="5" t="str">
        <x:v>GHS Flam. Liq. 2</x:v>
      </x:c>
      <x:c r="K38" s="5" t="str">
        <x:v>FAIL</x:v>
      </x:c>
      <x:c r="L38" s="12" t="str"/>
      <x:c r="M38" s="12" t="str">
        <x:v>Exclude from this normal-boiling profile; any pressure/profile change requires a separate screen.</x:v>
      </x:c>
      <x:c r="N38" s="5" t="str">
        <x:v>CF029_nist</x:v>
      </x:c>
      <x:c r="O38" s="5" t="str">
        <x:v>CF029_supplier</x:v>
      </x:c>
      <x:c r="P38" s="5" t="str">
        <x:v>Not retrieved</x:v>
      </x:c>
      <x:c r="Q38" s="5" t="str">
        <x:v>closed cup; test standard not specified</x:v>
      </x:c>
      <x:c r="R38" s="5" t="str">
        <x:v>C2H4Cl2</x:v>
      </x:c>
      <x:c r="S38" s="5" t="str">
        <x:v>Not retrieved</x:v>
      </x:c>
      <x:c r="T38" s="5" t="str">
        <x:v>Full 45–55°C range</x:v>
      </x:c>
      <x:c r="U38" s="5" t="str">
        <x:v>Located; not extracted</x:v>
      </x:c>
    </x:row>
    <x:row r="39" ht="24" hidden="0" customHeight="1">
      <x:c r="A39" s="5" t="str">
        <x:v>CF030</x:v>
      </x:c>
      <x:c r="B39" s="5" t="str">
        <x:v>Dichloromethane</x:v>
      </x:c>
      <x:c r="C39" s="5" t="str">
        <x:v>75-09-2</x:v>
      </x:c>
      <x:c r="D39" s="5" t="str">
        <x:v>Chlorinated alkane</x:v>
      </x:c>
      <x:c r="E39" s="5" t="str">
        <x:v>FAIL</x:v>
      </x:c>
      <x:c r="F39" s="11" t="n">
        <x:v>38.85</x:v>
      </x:c>
      <x:c r="G39" s="11" t="n">
        <x:v>40.85</x:v>
      </x:c>
      <x:c r="H39" s="11"/>
      <x:c r="I39" s="5" t="str">
        <x:v>UNKNOWN</x:v>
      </x:c>
      <x:c r="J39" s="5" t="str">
        <x:v>UNKNOWN</x:v>
      </x:c>
      <x:c r="K39" s="5" t="str">
        <x:v>FAIL</x:v>
      </x:c>
      <x:c r="L39" s="12" t="str">
        <x:v>FLASH VALUE NOT REPORTED; NO FLASH VALUE IS NOT A SAFETY PASS; GHS NOT RETRIEVED</x:v>
      </x:c>
      <x:c r="M39" s="12" t="str">
        <x:v>Exclude from this normal-boiling profile; any pressure/profile change requires a separate screen.</x:v>
      </x:c>
      <x:c r="N39" s="5" t="str">
        <x:v>CF030_nist</x:v>
      </x:c>
      <x:c r="O39" s="5" t="str">
        <x:v>UNKNOWN</x:v>
      </x:c>
      <x:c r="P39" s="5" t="str">
        <x:v>Not retrieved</x:v>
      </x:c>
      <x:c r="Q39" s="5" t="str">
        <x:v>UNKNOWN</x:v>
      </x:c>
      <x:c r="R39" s="5" t="str">
        <x:v>CH2Cl2</x:v>
      </x:c>
      <x:c r="S39" s="5" t="str">
        <x:v>Not retrieved</x:v>
      </x:c>
      <x:c r="T39" s="5" t="str">
        <x:v>Other / partial range</x:v>
      </x:c>
      <x:c r="U39" s="5" t="str">
        <x:v>Located; not extracted</x:v>
      </x:c>
    </x:row>
    <x:row r="40" ht="24" hidden="0" customHeight="1">
      <x:c r="A40" s="5" t="str">
        <x:v>CF031</x:v>
      </x:c>
      <x:c r="B40" s="5" t="str">
        <x:v>cis-1,2-Dichloroethylene</x:v>
      </x:c>
      <x:c r="C40" s="5" t="str">
        <x:v>156-59-2</x:v>
      </x:c>
      <x:c r="D40" s="5" t="str">
        <x:v>Chlorinated alkene</x:v>
      </x:c>
      <x:c r="E40" s="5" t="str">
        <x:v>FAIL</x:v>
      </x:c>
      <x:c r="F40" s="11" t="n">
        <x:v>57.85</x:v>
      </x:c>
      <x:c r="G40" s="11" t="n">
        <x:v>61.85</x:v>
      </x:c>
      <x:c r="H40" s="11" t="n">
        <x:v>6</x:v>
      </x:c>
      <x:c r="I40" s="5" t="str">
        <x:v>EQ</x:v>
      </x:c>
      <x:c r="J40" s="5" t="str">
        <x:v>GHS Flam. Liq. 2</x:v>
      </x:c>
      <x:c r="K40" s="5" t="str">
        <x:v>FAIL</x:v>
      </x:c>
      <x:c r="L40" s="12" t="str">
        <x:v>CIS TRANS IDENTITY CONTROL; FLASH ABOVE ZERO OUTSIDE BOILING WINDOW</x:v>
      </x:c>
      <x:c r="M40" s="12" t="str">
        <x:v>Exclude from this normal-boiling profile; any pressure/profile change requires a separate screen.</x:v>
      </x:c>
      <x:c r="N40" s="5" t="str">
        <x:v>CF031_nist</x:v>
      </x:c>
      <x:c r="O40" s="5" t="str">
        <x:v>CF031_supplier</x:v>
      </x:c>
      <x:c r="P40" s="5" t="str">
        <x:v>60 °C (lit.)</x:v>
      </x:c>
      <x:c r="Q40" s="5" t="str">
        <x:v>closed cup; test standard not specified</x:v>
      </x:c>
      <x:c r="R40" s="5" t="str">
        <x:v>C2H2Cl2</x:v>
      </x:c>
      <x:c r="S40" s="5" t="str">
        <x:v>Not retrieved</x:v>
      </x:c>
      <x:c r="T40" s="5" t="str">
        <x:v>Full 45–55°C range</x:v>
      </x:c>
      <x:c r="U40" s="5" t="str">
        <x:v>Located; not extracted</x:v>
      </x:c>
    </x:row>
    <x:row r="41" ht="24" hidden="0" customHeight="1">
      <x:c r="A41" s="5" t="str">
        <x:v>CF032</x:v>
      </x:c>
      <x:c r="B41" s="5" t="str">
        <x:v>2,3-Dimethylbutane</x:v>
      </x:c>
      <x:c r="C41" s="5" t="str">
        <x:v>79-29-8</x:v>
      </x:c>
      <x:c r="D41" s="5" t="str">
        <x:v>Hydrocarbon</x:v>
      </x:c>
      <x:c r="E41" s="5" t="str">
        <x:v>FAIL</x:v>
      </x:c>
      <x:c r="F41" s="11" t="n">
        <x:v>57.85</x:v>
      </x:c>
      <x:c r="G41" s="11" t="n">
        <x:v>58.25</x:v>
      </x:c>
      <x:c r="H41" s="11" t="n">
        <x:v>-29</x:v>
      </x:c>
      <x:c r="I41" s="5" t="str">
        <x:v>EQ</x:v>
      </x:c>
      <x:c r="J41" s="5" t="str">
        <x:v>GHS Flam. Liq. 2</x:v>
      </x:c>
      <x:c r="K41" s="5" t="str">
        <x:v>FAIL</x:v>
      </x:c>
      <x:c r="L41" s="12" t="str"/>
      <x:c r="M41" s="12" t="str">
        <x:v>Exclude from this normal-boiling profile; any pressure/profile change requires a separate screen.</x:v>
      </x:c>
      <x:c r="N41" s="5" t="str">
        <x:v>CF032_nist</x:v>
      </x:c>
      <x:c r="O41" s="5" t="str">
        <x:v>CF032_supplier</x:v>
      </x:c>
      <x:c r="P41" s="5" t="str">
        <x:v>58 °C (lit.)</x:v>
      </x:c>
      <x:c r="Q41" s="5" t="str">
        <x:v>closed cup; test standard not specified</x:v>
      </x:c>
      <x:c r="R41" s="5" t="str">
        <x:v>C6H14</x:v>
      </x:c>
      <x:c r="S41" s="5" t="str">
        <x:v>98%</x:v>
      </x:c>
      <x:c r="T41" s="5" t="str">
        <x:v>Full 45–55°C range</x:v>
      </x:c>
      <x:c r="U41" s="5" t="str">
        <x:v>Located; not extracted</x:v>
      </x:c>
    </x:row>
  </x:sheetData>
  <x:conditionalFormatting sqref="E10:E41">
    <x:cfRule type="containsText" dxfId="0" priority="1" operator="containsText" text="UNKNOWN"/>
    <x:cfRule type="containsText" dxfId="1" priority="2" operator="containsText" text="FAIL"/>
  </x:conditionalFormatting>
  <x:conditionalFormatting sqref="K10:K41">
    <x:cfRule type="containsText" dxfId="2" priority="3" operator="containsText" text="UNKNOWN"/>
    <x:cfRule type="containsText" dxfId="3" priority="4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15d3c2ce1fe4c8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109999656677246" hidden="0" customWidth="1"/>
    <x:col min="2" max="2" width="10" hidden="0" customWidth="1"/>
    <x:col min="3" max="3" width="19.440000534057617" hidden="0" customWidth="1"/>
    <x:col min="4" max="4" width="30" hidden="0" customWidth="1"/>
    <x:col min="5" max="5" width="7.78000020980835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  <x:col min="9" max="9" width="7.78000020980835" hidden="0" customWidth="1"/>
    <x:col min="10" max="10" width="11.109999656677246" hidden="0" customWidth="1"/>
    <x:col min="11" max="11" width="11.109999656677246" hidden="0" customWidth="1"/>
    <x:col min="12" max="12" width="33.88999938964844" hidden="0" customWidth="1"/>
    <x:col min="13" max="13" width="37.779998779296875" hidden="0" customWidth="1"/>
    <x:col min="14" max="14" width="63.33000183105469" hidden="0" customWidth="1"/>
    <x:col min="15" max="15" width="17.219999313354492" hidden="0" customWidth="1"/>
    <x:col min="16" max="16" width="85.55999755859375" hidden="0" customWidth="1"/>
    <x:col min="17" max="17" width="11.109999656677246" hidden="0" customWidth="1"/>
  </x:cols>
  <x:sheetData>
    <x:row r="1" ht="32" customHeight="1">
      <x:c r="A1" s="16" t="str">
        <x:v>Observation</x:v>
      </x:c>
      <x:c r="B1" s="16" t="str">
        <x:v>Candidate</x:v>
      </x:c>
      <x:c r="C1" s="16" t="str">
        <x:v>Property</x:v>
      </x:c>
      <x:c r="D1" s="16" t="str">
        <x:v>Reported value</x:v>
      </x:c>
      <x:c r="E1" s="16" t="str">
        <x:v>Unit</x:v>
      </x:c>
      <x:c r="F1" s="16" t="str">
        <x:v>Reported low</x:v>
      </x:c>
      <x:c r="G1" s="16" t="str">
        <x:v>Reported high</x:v>
      </x:c>
      <x:c r="H1" s="16" t="str">
        <x:v>Reported ±</x:v>
      </x:c>
      <x:c r="I1" s="16" t="str">
        <x:v>Relation</x:v>
      </x:c>
      <x:c r="J1" s="16" t="str">
        <x:v>Low (°C)</x:v>
      </x:c>
      <x:c r="K1" s="16" t="str">
        <x:v>High (°C)</x:v>
      </x:c>
      <x:c r="L1" s="16" t="str">
        <x:v>Method</x:v>
      </x:c>
      <x:c r="M1" s="16" t="str">
        <x:v>Pressure / convention</x:v>
      </x:c>
      <x:c r="N1" s="16" t="str">
        <x:v>Evidence note</x:v>
      </x:c>
      <x:c r="O1" s="16" t="str">
        <x:v>Source ID</x:v>
      </x:c>
      <x:c r="P1" s="16" t="str">
        <x:v>Source URL</x:v>
      </x:c>
      <x:c r="Q1" s="16" t="str">
        <x:v>Retrieved</x:v>
      </x:c>
    </x:row>
    <x:row r="2" ht="24" hidden="0" customHeight="1">
      <x:c r="A2" s="5" t="str">
        <x:v>O001</x:v>
      </x:c>
      <x:c r="B2" s="5" t="str">
        <x:v>CF001</x:v>
      </x:c>
      <x:c r="C2" s="5" t="str">
        <x:v>normal_boiling_point</x:v>
      </x:c>
      <x:c r="D2" s="5" t="str">
        <x:v>322.4 ± 0.3 K</x:v>
      </x:c>
      <x:c r="E2" s="5" t="str">
        <x:v>K</x:v>
      </x:c>
      <x:c r="F2" s="10" t="n">
        <x:v>322.09999999999997</x:v>
      </x:c>
      <x:c r="G2" s="10" t="n">
        <x:v>322.7</x:v>
      </x:c>
      <x:c r="H2" s="10" t="n">
        <x:v>0.3</x:v>
      </x:c>
      <x:c r="I2" s="5" t="str">
        <x:v>EQ</x:v>
      </x:c>
      <x:c r="J2" s="10" t="n">
        <x:v>48.95</x:v>
      </x:c>
      <x:c r="K2" s="10" t="n">
        <x:v>49.55</x:v>
      </x:c>
      <x:c r="L2" s="5" t="str">
        <x:v>NIST Tboil compilation</x:v>
      </x:c>
      <x:c r="M2" s="5" t="str">
        <x:v>101.325 kPa; normal convention, not separately reported</x:v>
      </x:c>
      <x:c r="N2" s="5" t="str">
        <x:v>Reported compilation spread/TRC uncertainty retained as a conservative screening envelope, not a confidence interval or measurement precision. NIST AVG compilation.</x:v>
      </x:c>
      <x:c r="O2" s="5" t="str">
        <x:v>CF001_nist</x:v>
      </x:c>
      <x:c r="P2" s="5" t="str">
        <x:v>https://webbook.nist.gov/cgi/cbook.cgi?ID=C287923&amp;Mask=4</x:v>
      </x:c>
      <x:c r="Q2" s="17" t="n">
        <x:v>46294</x:v>
      </x:c>
    </x:row>
    <x:row r="3" ht="15" hidden="0" customHeight="1">
      <x:c r="A3" s="5" t="str">
        <x:v>O002</x:v>
      </x:c>
      <x:c r="B3" s="5" t="str">
        <x:v>CF001</x:v>
      </x:c>
      <x:c r="C3" s="5" t="str">
        <x:v>flash_point</x:v>
      </x:c>
      <x:c r="D3" s="5" t="str">
        <x:v>-20 °C - closed cup</x:v>
      </x:c>
      <x:c r="E3" s="5" t="str">
        <x:v>degC</x:v>
      </x:c>
      <x:c r="F3" s="10" t="n">
        <x:v>-20</x:v>
      </x:c>
      <x:c r="G3" s="10" t="n">
        <x:v>-20</x:v>
      </x:c>
      <x:c r="H3" s="10"/>
      <x:c r="I3" s="5" t="str">
        <x:v>EQ</x:v>
      </x:c>
      <x:c r="J3" s="10" t="n">
        <x:v>-20</x:v>
      </x:c>
      <x:c r="K3" s="10" t="n">
        <x:v>-20</x:v>
      </x:c>
      <x:c r="L3" s="5" t="str">
        <x:v>closed cup; test standard not specified</x:v>
      </x:c>
      <x:c r="M3" s="5"/>
      <x:c r="N3" s="5" t="str">
        <x:v>Supplier-reported product value; specimen and test report not obtained.</x:v>
      </x:c>
      <x:c r="O3" s="5" t="str">
        <x:v>CF001_supplier</x:v>
      </x:c>
      <x:c r="P3" s="5" t="str">
        <x:v>https://www.sigmaaldrich.com/US/en/product/sigald/459747</x:v>
      </x:c>
      <x:c r="Q3" s="17" t="n">
        <x:v>46294</x:v>
      </x:c>
    </x:row>
    <x:row r="4" ht="15" hidden="0" customHeight="1">
      <x:c r="A4" s="5" t="str">
        <x:v>O003</x:v>
      </x:c>
      <x:c r="B4" s="5" t="str">
        <x:v>CF001</x:v>
      </x:c>
      <x:c r="C4" s="5" t="str">
        <x:v>supplier_boiling_point</x:v>
      </x:c>
      <x:c r="D4" s="5" t="str">
        <x:v>50 °C (lit.)</x:v>
      </x:c>
      <x:c r="E4" s="5"/>
      <x:c r="F4" s="10"/>
      <x:c r="G4" s="10"/>
      <x:c r="H4" s="10"/>
      <x:c r="I4" s="5" t="str">
        <x:v>EQ</x:v>
      </x:c>
      <x:c r="J4" s="10"/>
      <x:c r="K4" s="10"/>
      <x:c r="L4" s="5" t="str">
        <x:v>supplier literature/reference value</x:v>
      </x:c>
      <x:c r="M4" s="5"/>
      <x:c r="N4" s="5" t="str">
        <x:v>Pressure is not inferred from an unqualified supplier boiling point.</x:v>
      </x:c>
      <x:c r="O4" s="5" t="str">
        <x:v>CF001_supplier</x:v>
      </x:c>
      <x:c r="P4" s="5" t="str">
        <x:v>https://www.sigmaaldrich.com/US/en/product/sigald/459747</x:v>
      </x:c>
      <x:c r="Q4" s="17" t="n">
        <x:v>46294</x:v>
      </x:c>
    </x:row>
    <x:row r="5" ht="24" hidden="0" customHeight="1">
      <x:c r="A5" s="5" t="str">
        <x:v>O004</x:v>
      </x:c>
      <x:c r="B5" s="5" t="str">
        <x:v>CF001</x:v>
      </x:c>
      <x:c r="C5" s="5" t="str">
        <x:v>hazard_classification</x:v>
      </x:c>
      <x:c r="D5" s="5" t="str">
        <x:v>Aquatic Chronic 3 - Asp. Tox. 1 - Flam. Liq. 2 - STOT SE 3</x:v>
      </x:c>
      <x:c r="E5" s="5"/>
      <x:c r="F5" s="10"/>
      <x:c r="G5" s="10"/>
      <x:c r="H5" s="10"/>
      <x:c r="I5" s="5" t="str">
        <x:v>EQ</x:v>
      </x:c>
      <x:c r="J5" s="10"/>
      <x:c r="K5" s="10"/>
      <x:c r="L5" s="5"/>
      <x:c r="M5" s="5"/>
      <x:c r="N5" s="5"/>
      <x:c r="O5" s="5" t="str">
        <x:v>CF001_supplier</x:v>
      </x:c>
      <x:c r="P5" s="5" t="str">
        <x:v>https://www.sigmaaldrich.com/US/en/product/sigald/459747</x:v>
      </x:c>
      <x:c r="Q5" s="17" t="n">
        <x:v>46294</x:v>
      </x:c>
    </x:row>
    <x:row r="6" ht="15" hidden="0" customHeight="1">
      <x:c r="A6" s="5" t="str">
        <x:v>O005</x:v>
      </x:c>
      <x:c r="B6" s="5" t="str">
        <x:v>CF001</x:v>
      </x:c>
      <x:c r="C6" s="5" t="str">
        <x:v>hazard_codes</x:v>
      </x:c>
      <x:c r="D6" s="5" t="str">
        <x:v>H225, H304, H336, H412</x:v>
      </x:c>
      <x:c r="E6" s="5"/>
      <x:c r="F6" s="10"/>
      <x:c r="G6" s="10"/>
      <x:c r="H6" s="10"/>
      <x:c r="I6" s="5" t="str">
        <x:v>EQ</x:v>
      </x:c>
      <x:c r="J6" s="10"/>
      <x:c r="K6" s="10"/>
      <x:c r="L6" s="5"/>
      <x:c r="M6" s="5"/>
      <x:c r="N6" s="5"/>
      <x:c r="O6" s="5" t="str">
        <x:v>CF001_supplier</x:v>
      </x:c>
      <x:c r="P6" s="5" t="str">
        <x:v>https://www.sigmaaldrich.com/US/en/product/sigald/459747</x:v>
      </x:c>
      <x:c r="Q6" s="17" t="n">
        <x:v>46294</x:v>
      </x:c>
    </x:row>
    <x:row r="7" ht="15" hidden="0" customHeight="1">
      <x:c r="A7" s="5" t="str">
        <x:v>O006</x:v>
      </x:c>
      <x:c r="B7" s="5" t="str">
        <x:v>CF001</x:v>
      </x:c>
      <x:c r="C7" s="5" t="str">
        <x:v>government_boiling_point</x:v>
      </x:c>
      <x:c r="D7" s="5" t="str">
        <x:v>121°F</x:v>
      </x:c>
      <x:c r="E7" s="5"/>
      <x:c r="F7" s="10"/>
      <x:c r="G7" s="10"/>
      <x:c r="H7" s="10"/>
      <x:c r="I7" s="5" t="str">
        <x:v>EQ</x:v>
      </x:c>
      <x:c r="J7" s="10"/>
      <x:c r="K7" s="10"/>
      <x:c r="L7" s="5" t="str">
        <x:v>NIOSH reference value</x:v>
      </x:c>
      <x:c r="M7" s="5"/>
      <x:c r="N7" s="5" t="str">
        <x:v>Corroborating value; NIST envelope remains the declared screen.</x:v>
      </x:c>
      <x:c r="O7" s="5" t="str">
        <x:v>CF001_niosh</x:v>
      </x:c>
      <x:c r="P7" s="5" t="str">
        <x:v>https://www.cdc.gov/niosh/npg/npgd0171.html</x:v>
      </x:c>
      <x:c r="Q7" s="17" t="n">
        <x:v>46294</x:v>
      </x:c>
    </x:row>
    <x:row r="8" ht="15" hidden="0" customHeight="1">
      <x:c r="A8" s="5" t="str">
        <x:v>O007</x:v>
      </x:c>
      <x:c r="B8" s="5" t="str">
        <x:v>CF001</x:v>
      </x:c>
      <x:c r="C8" s="5" t="str">
        <x:v>flash_point</x:v>
      </x:c>
      <x:c r="D8" s="5" t="str">
        <x:v>-35°F</x:v>
      </x:c>
      <x:c r="E8" s="5" t="str">
        <x:v>degF</x:v>
      </x:c>
      <x:c r="F8" s="10" t="n">
        <x:v>-35</x:v>
      </x:c>
      <x:c r="G8" s="10" t="n">
        <x:v>-35</x:v>
      </x:c>
      <x:c r="H8" s="10"/>
      <x:c r="I8" s="5" t="str">
        <x:v>EQ</x:v>
      </x:c>
      <x:c r="J8" s="10" t="n">
        <x:v>-37.222222</x:v>
      </x:c>
      <x:c r="K8" s="10" t="n">
        <x:v>-37.222222</x:v>
      </x:c>
      <x:c r="L8" s="5" t="str">
        <x:v>not specified in NIOSH entry</x:v>
      </x:c>
      <x:c r="M8" s="5"/>
      <x:c r="N8" s="5" t="str">
        <x:v>Government-reported reference value; converted with (F−32)×5/9.</x:v>
      </x:c>
      <x:c r="O8" s="5" t="str">
        <x:v>CF001_niosh</x:v>
      </x:c>
      <x:c r="P8" s="5" t="str">
        <x:v>https://www.cdc.gov/niosh/npg/npgd0171.html</x:v>
      </x:c>
      <x:c r="Q8" s="17" t="n">
        <x:v>46294</x:v>
      </x:c>
    </x:row>
    <x:row r="9" ht="24" hidden="0" customHeight="1">
      <x:c r="A9" s="5" t="str">
        <x:v>O008</x:v>
      </x:c>
      <x:c r="B9" s="5" t="str">
        <x:v>CF001</x:v>
      </x:c>
      <x:c r="C9" s="5" t="str">
        <x:v>fire_description</x:v>
      </x:c>
      <x:c r="D9" s="5" t="str">
        <x:v>Class IB Flammable Liquid: Fl.P. below 73°F and BP at or above 100°F.</x:v>
      </x:c>
      <x:c r="E9" s="5"/>
      <x:c r="F9" s="10"/>
      <x:c r="G9" s="10"/>
      <x:c r="H9" s="10"/>
      <x:c r="I9" s="5" t="str">
        <x:v>EQ</x:v>
      </x:c>
      <x:c r="J9" s="10"/>
      <x:c r="K9" s="10"/>
      <x:c r="L9" s="5"/>
      <x:c r="M9" s="5"/>
      <x:c r="N9" s="5"/>
      <x:c r="O9" s="5" t="str">
        <x:v>CF001_niosh</x:v>
      </x:c>
      <x:c r="P9" s="5" t="str">
        <x:v>https://www.cdc.gov/niosh/npg/npgd0171.html</x:v>
      </x:c>
      <x:c r="Q9" s="17" t="n">
        <x:v>46294</x:v>
      </x:c>
    </x:row>
    <x:row r="10" ht="24" hidden="0" customHeight="1">
      <x:c r="A10" s="5" t="str">
        <x:v>O009</x:v>
      </x:c>
      <x:c r="B10" s="5" t="str">
        <x:v>CF002</x:v>
      </x:c>
      <x:c r="C10" s="5" t="str">
        <x:v>normal_boiling_point</x:v>
      </x:c>
      <x:c r="D10" s="5" t="str">
        <x:v>322.9 ± 0.1 K</x:v>
      </x:c>
      <x:c r="E10" s="5" t="str">
        <x:v>K</x:v>
      </x:c>
      <x:c r="F10" s="10" t="n">
        <x:v>322.79999999999995</x:v>
      </x:c>
      <x:c r="G10" s="10" t="n">
        <x:v>323</x:v>
      </x:c>
      <x:c r="H10" s="10" t="n">
        <x:v>0.1</x:v>
      </x:c>
      <x:c r="I10" s="5" t="str">
        <x:v>EQ</x:v>
      </x:c>
      <x:c r="J10" s="10" t="n">
        <x:v>49.65</x:v>
      </x:c>
      <x:c r="K10" s="10" t="n">
        <x:v>49.85</x:v>
      </x:c>
      <x:c r="L10" s="5" t="str">
        <x:v>NIST Tboil compilation</x:v>
      </x:c>
      <x:c r="M10" s="5" t="str">
        <x:v>101.325 kPa; normal convention, not separately reported</x:v>
      </x:c>
      <x:c r="N10" s="5" t="str">
        <x:v>Reported compilation spread/TRC uncertainty retained as a conservative screening envelope, not a confidence interval or measurement precision. NIST AVG compilation.</x:v>
      </x:c>
      <x:c r="O10" s="5" t="str">
        <x:v>CF002_nist</x:v>
      </x:c>
      <x:c r="P10" s="5" t="str">
        <x:v>https://webbook.nist.gov/cgi/cbook.cgi?ID=C75832&amp;Mask=4</x:v>
      </x:c>
      <x:c r="Q10" s="17" t="n">
        <x:v>46294</x:v>
      </x:c>
    </x:row>
    <x:row r="11" ht="15" hidden="0" customHeight="1">
      <x:c r="A11" s="5" t="str">
        <x:v>O010</x:v>
      </x:c>
      <x:c r="B11" s="5" t="str">
        <x:v>CF002</x:v>
      </x:c>
      <x:c r="C11" s="5" t="str">
        <x:v>flash_point</x:v>
      </x:c>
      <x:c r="D11" s="5" t="str">
        <x:v>-29 °C - closed cup</x:v>
      </x:c>
      <x:c r="E11" s="5" t="str">
        <x:v>degC</x:v>
      </x:c>
      <x:c r="F11" s="10" t="n">
        <x:v>-29</x:v>
      </x:c>
      <x:c r="G11" s="10" t="n">
        <x:v>-29</x:v>
      </x:c>
      <x:c r="H11" s="10"/>
      <x:c r="I11" s="5" t="str">
        <x:v>EQ</x:v>
      </x:c>
      <x:c r="J11" s="10" t="n">
        <x:v>-29</x:v>
      </x:c>
      <x:c r="K11" s="10" t="n">
        <x:v>-29</x:v>
      </x:c>
      <x:c r="L11" s="5" t="str">
        <x:v>closed cup; test standard not specified</x:v>
      </x:c>
      <x:c r="M11" s="5"/>
      <x:c r="N11" s="5" t="str">
        <x:v>Supplier-reported product value; specimen and test report not obtained.</x:v>
      </x:c>
      <x:c r="O11" s="5" t="str">
        <x:v>CF002_supplier</x:v>
      </x:c>
      <x:c r="P11" s="5" t="str">
        <x:v>https://www.sigmaaldrich.com/US/en/product/sial/39730</x:v>
      </x:c>
      <x:c r="Q11" s="17" t="n">
        <x:v>46294</x:v>
      </x:c>
    </x:row>
    <x:row r="12" ht="15" hidden="0" customHeight="1">
      <x:c r="A12" s="5" t="str">
        <x:v>O011</x:v>
      </x:c>
      <x:c r="B12" s="5" t="str">
        <x:v>CF002</x:v>
      </x:c>
      <x:c r="C12" s="5" t="str">
        <x:v>supplier_boiling_point</x:v>
      </x:c>
      <x:c r="D12" s="5" t="str">
        <x:v>50 °C (lit.)</x:v>
      </x:c>
      <x:c r="E12" s="5"/>
      <x:c r="F12" s="10"/>
      <x:c r="G12" s="10"/>
      <x:c r="H12" s="10"/>
      <x:c r="I12" s="5" t="str">
        <x:v>EQ</x:v>
      </x:c>
      <x:c r="J12" s="10"/>
      <x:c r="K12" s="10"/>
      <x:c r="L12" s="5" t="str">
        <x:v>supplier literature/reference value</x:v>
      </x:c>
      <x:c r="M12" s="5"/>
      <x:c r="N12" s="5" t="str">
        <x:v>Pressure is not inferred from an unqualified supplier boiling point.</x:v>
      </x:c>
      <x:c r="O12" s="5" t="str">
        <x:v>CF002_supplier</x:v>
      </x:c>
      <x:c r="P12" s="5" t="str">
        <x:v>https://www.sigmaaldrich.com/US/en/product/sial/39730</x:v>
      </x:c>
      <x:c r="Q12" s="17" t="n">
        <x:v>46294</x:v>
      </x:c>
    </x:row>
    <x:row r="13" ht="24" hidden="0" customHeight="1">
      <x:c r="A13" s="5" t="str">
        <x:v>O012</x:v>
      </x:c>
      <x:c r="B13" s="5" t="str">
        <x:v>CF002</x:v>
      </x:c>
      <x:c r="C13" s="5" t="str">
        <x:v>hazard_classification</x:v>
      </x:c>
      <x:c r="D13" s="5" t="str">
        <x:v>Aquatic Chronic 2 - Asp. Tox. 1 - Flam. Liq. 2 - Skin Irrit. 2 - STOT SE 3</x:v>
      </x:c>
      <x:c r="E13" s="5"/>
      <x:c r="F13" s="10"/>
      <x:c r="G13" s="10"/>
      <x:c r="H13" s="10"/>
      <x:c r="I13" s="5" t="str">
        <x:v>EQ</x:v>
      </x:c>
      <x:c r="J13" s="10"/>
      <x:c r="K13" s="10"/>
      <x:c r="L13" s="5"/>
      <x:c r="M13" s="5"/>
      <x:c r="N13" s="5"/>
      <x:c r="O13" s="5" t="str">
        <x:v>CF002_supplier</x:v>
      </x:c>
      <x:c r="P13" s="5" t="str">
        <x:v>https://www.sigmaaldrich.com/US/en/product/sial/39730</x:v>
      </x:c>
      <x:c r="Q13" s="17" t="n">
        <x:v>46294</x:v>
      </x:c>
    </x:row>
    <x:row r="14" ht="15" hidden="0" customHeight="1">
      <x:c r="A14" s="5" t="str">
        <x:v>O013</x:v>
      </x:c>
      <x:c r="B14" s="5" t="str">
        <x:v>CF002</x:v>
      </x:c>
      <x:c r="C14" s="5" t="str">
        <x:v>hazard_codes</x:v>
      </x:c>
      <x:c r="D14" s="5" t="str">
        <x:v>H225, H304, H315, H336, H411</x:v>
      </x:c>
      <x:c r="E14" s="5"/>
      <x:c r="F14" s="10"/>
      <x:c r="G14" s="10"/>
      <x:c r="H14" s="10"/>
      <x:c r="I14" s="5" t="str">
        <x:v>EQ</x:v>
      </x:c>
      <x:c r="J14" s="10"/>
      <x:c r="K14" s="10"/>
      <x:c r="L14" s="5"/>
      <x:c r="M14" s="5"/>
      <x:c r="N14" s="5"/>
      <x:c r="O14" s="5" t="str">
        <x:v>CF002_supplier</x:v>
      </x:c>
      <x:c r="P14" s="5" t="str">
        <x:v>https://www.sigmaaldrich.com/US/en/product/sial/39730</x:v>
      </x:c>
      <x:c r="Q14" s="17" t="n">
        <x:v>46294</x:v>
      </x:c>
    </x:row>
    <x:row r="15" ht="15" hidden="0" customHeight="1">
      <x:c r="A15" s="5" t="str">
        <x:v>O014</x:v>
      </x:c>
      <x:c r="B15" s="5" t="str">
        <x:v>CF002</x:v>
      </x:c>
      <x:c r="C15" s="5" t="str">
        <x:v>flash_point</x:v>
      </x:c>
      <x:c r="D15" s="5" t="str">
        <x:v>-48.C</x:v>
      </x:c>
      <x:c r="E15" s="5" t="str">
        <x:v>degC</x:v>
      </x:c>
      <x:c r="F15" s="10" t="n">
        <x:v>-48</x:v>
      </x:c>
      <x:c r="G15" s="10" t="n">
        <x:v>-48</x:v>
      </x:c>
      <x:c r="H15" s="10"/>
      <x:c r="I15" s="5" t="str">
        <x:v>EQ</x:v>
      </x:c>
      <x:c r="J15" s="10" t="n">
        <x:v>-48</x:v>
      </x:c>
      <x:c r="K15" s="10" t="n">
        <x:v>-48</x:v>
      </x:c>
      <x:c r="L15" s="5" t="str">
        <x:v>not specified in partner product record</x:v>
      </x:c>
      <x:c r="M15" s="5"/>
      <x:c r="N15" s="5" t="str">
        <x:v>Aladdin product record hosted by Sigma-Aldrich; differs from Sigma 39730 (-29°C).</x:v>
      </x:c>
      <x:c r="O15" s="5" t="str">
        <x:v>CF002_supplier_alt</x:v>
      </x:c>
      <x:c r="P15" s="5" t="str">
        <x:v>https://www.sigmaaldrich.com/US/en/product/aladdinscientific/alnh9a9e65ff</x:v>
      </x:c>
      <x:c r="Q15" s="17" t="n">
        <x:v>46294</x:v>
      </x:c>
    </x:row>
    <x:row r="16" ht="24" hidden="0" customHeight="1">
      <x:c r="A16" s="5" t="str">
        <x:v>O015</x:v>
      </x:c>
      <x:c r="B16" s="5" t="str">
        <x:v>CF003</x:v>
      </x:c>
      <x:c r="C16" s="5" t="str">
        <x:v>normal_boiling_point</x:v>
      </x:c>
      <x:c r="D16" s="5" t="str">
        <x:v>327.1 ± 0.7 K</x:v>
      </x:c>
      <x:c r="E16" s="5" t="str">
        <x:v>K</x:v>
      </x:c>
      <x:c r="F16" s="10" t="n">
        <x:v>326.40000000000003</x:v>
      </x:c>
      <x:c r="G16" s="10" t="n">
        <x:v>327.8</x:v>
      </x:c>
      <x:c r="H16" s="10" t="n">
        <x:v>0.7</x:v>
      </x:c>
      <x:c r="I16" s="5" t="str">
        <x:v>EQ</x:v>
      </x:c>
      <x:c r="J16" s="10" t="n">
        <x:v>53.25</x:v>
      </x:c>
      <x:c r="K16" s="10" t="n">
        <x:v>54.65</x:v>
      </x:c>
      <x:c r="L16" s="5" t="str">
        <x:v>NIST Tboil compilation</x:v>
      </x:c>
      <x:c r="M16" s="5" t="str">
        <x:v>101.325 kPa; normal convention, not separately reported</x:v>
      </x:c>
      <x:c r="N16" s="5" t="str">
        <x:v>Reported compilation spread/TRC uncertainty retained as a conservative screening envelope, not a confidence interval or measurement precision. NIST AVG compilation.</x:v>
      </x:c>
      <x:c r="O16" s="5" t="str">
        <x:v>CF003_nist_retry</x:v>
      </x:c>
      <x:c r="P16" s="5" t="str">
        <x:v>https://webbook.nist.gov/cgi/cbook.cgi?ID=C760203&amp;Mask=2C</x:v>
      </x:c>
      <x:c r="Q16" s="17" t="n">
        <x:v>46294</x:v>
      </x:c>
    </x:row>
    <x:row r="17" ht="15" hidden="0" customHeight="1">
      <x:c r="A17" s="5" t="str">
        <x:v>O016</x:v>
      </x:c>
      <x:c r="B17" s="5" t="str">
        <x:v>CF003</x:v>
      </x:c>
      <x:c r="C17" s="5" t="str">
        <x:v>flash_point</x:v>
      </x:c>
      <x:c r="D17" s="5" t="str">
        <x:v>-27 °C - closed cup</x:v>
      </x:c>
      <x:c r="E17" s="5" t="str">
        <x:v>degC</x:v>
      </x:c>
      <x:c r="F17" s="10" t="n">
        <x:v>-27</x:v>
      </x:c>
      <x:c r="G17" s="10" t="n">
        <x:v>-27</x:v>
      </x:c>
      <x:c r="H17" s="10"/>
      <x:c r="I17" s="5" t="str">
        <x:v>EQ</x:v>
      </x:c>
      <x:c r="J17" s="10" t="n">
        <x:v>-27</x:v>
      </x:c>
      <x:c r="K17" s="10" t="n">
        <x:v>-27</x:v>
      </x:c>
      <x:c r="L17" s="5" t="str">
        <x:v>closed cup; test standard not specified</x:v>
      </x:c>
      <x:c r="M17" s="5"/>
      <x:c r="N17" s="5" t="str">
        <x:v>Supplier-reported product value; specimen and test report not obtained.</x:v>
      </x:c>
      <x:c r="O17" s="5" t="str">
        <x:v>CF003_supplier</x:v>
      </x:c>
      <x:c r="P17" s="5" t="str">
        <x:v>https://www.sigmaaldrich.com/VN/en/product/aldrich/111147</x:v>
      </x:c>
      <x:c r="Q17" s="17" t="n">
        <x:v>46294</x:v>
      </x:c>
    </x:row>
    <x:row r="18" ht="15" hidden="0" customHeight="1">
      <x:c r="A18" s="5" t="str">
        <x:v>O017</x:v>
      </x:c>
      <x:c r="B18" s="5" t="str">
        <x:v>CF003</x:v>
      </x:c>
      <x:c r="C18" s="5" t="str">
        <x:v>supplier_boiling_point</x:v>
      </x:c>
      <x:c r="D18" s="5" t="str">
        <x:v>54 °C (lit.)</x:v>
      </x:c>
      <x:c r="E18" s="5"/>
      <x:c r="F18" s="10"/>
      <x:c r="G18" s="10"/>
      <x:c r="H18" s="10"/>
      <x:c r="I18" s="5" t="str">
        <x:v>EQ</x:v>
      </x:c>
      <x:c r="J18" s="10"/>
      <x:c r="K18" s="10"/>
      <x:c r="L18" s="5" t="str">
        <x:v>supplier literature/reference value</x:v>
      </x:c>
      <x:c r="M18" s="5"/>
      <x:c r="N18" s="5" t="str">
        <x:v>Pressure is not inferred from an unqualified supplier boiling point.</x:v>
      </x:c>
      <x:c r="O18" s="5" t="str">
        <x:v>CF003_supplier</x:v>
      </x:c>
      <x:c r="P18" s="5" t="str">
        <x:v>https://www.sigmaaldrich.com/VN/en/product/aldrich/111147</x:v>
      </x:c>
      <x:c r="Q18" s="17" t="n">
        <x:v>46294</x:v>
      </x:c>
    </x:row>
    <x:row r="19" ht="15" hidden="0" customHeight="1">
      <x:c r="A19" s="5" t="str">
        <x:v>O018</x:v>
      </x:c>
      <x:c r="B19" s="5" t="str">
        <x:v>CF003</x:v>
      </x:c>
      <x:c r="C19" s="5" t="str">
        <x:v>hazard_classification</x:v>
      </x:c>
      <x:c r="D19" s="5" t="str">
        <x:v>Asp. Tox. 1 - Flam. Liq. 2</x:v>
      </x:c>
      <x:c r="E19" s="5"/>
      <x:c r="F19" s="10"/>
      <x:c r="G19" s="10"/>
      <x:c r="H19" s="10"/>
      <x:c r="I19" s="5" t="str">
        <x:v>EQ</x:v>
      </x:c>
      <x:c r="J19" s="10"/>
      <x:c r="K19" s="10"/>
      <x:c r="L19" s="5"/>
      <x:c r="M19" s="5"/>
      <x:c r="N19" s="5"/>
      <x:c r="O19" s="5" t="str">
        <x:v>CF003_supplier</x:v>
      </x:c>
      <x:c r="P19" s="5" t="str">
        <x:v>https://www.sigmaaldrich.com/VN/en/product/aldrich/111147</x:v>
      </x:c>
      <x:c r="Q19" s="17" t="n">
        <x:v>46294</x:v>
      </x:c>
    </x:row>
    <x:row r="20" ht="15" hidden="0" customHeight="1">
      <x:c r="A20" s="5" t="str">
        <x:v>O019</x:v>
      </x:c>
      <x:c r="B20" s="5" t="str">
        <x:v>CF003</x:v>
      </x:c>
      <x:c r="C20" s="5" t="str">
        <x:v>hazard_codes</x:v>
      </x:c>
      <x:c r="D20" s="5" t="str">
        <x:v>H225, H304</x:v>
      </x:c>
      <x:c r="E20" s="5"/>
      <x:c r="F20" s="10"/>
      <x:c r="G20" s="10"/>
      <x:c r="H20" s="10"/>
      <x:c r="I20" s="5" t="str">
        <x:v>EQ</x:v>
      </x:c>
      <x:c r="J20" s="10"/>
      <x:c r="K20" s="10"/>
      <x:c r="L20" s="5"/>
      <x:c r="M20" s="5"/>
      <x:c r="N20" s="5"/>
      <x:c r="O20" s="5" t="str">
        <x:v>CF003_supplier</x:v>
      </x:c>
      <x:c r="P20" s="5" t="str">
        <x:v>https://www.sigmaaldrich.com/VN/en/product/aldrich/111147</x:v>
      </x:c>
      <x:c r="Q20" s="17" t="n">
        <x:v>46294</x:v>
      </x:c>
    </x:row>
    <x:row r="21" ht="24" hidden="0" customHeight="1">
      <x:c r="A21" s="5" t="str">
        <x:v>O020</x:v>
      </x:c>
      <x:c r="B21" s="5" t="str">
        <x:v>CF004</x:v>
      </x:c>
      <x:c r="C21" s="5" t="str">
        <x:v>normal_boiling_point</x:v>
      </x:c>
      <x:c r="D21" s="5" t="str">
        <x:v>327.0 ± 0.3 K</x:v>
      </x:c>
      <x:c r="E21" s="5" t="str">
        <x:v>K</x:v>
      </x:c>
      <x:c r="F21" s="10" t="n">
        <x:v>326.7</x:v>
      </x:c>
      <x:c r="G21" s="10" t="n">
        <x:v>327.3</x:v>
      </x:c>
      <x:c r="H21" s="10" t="n">
        <x:v>0.3</x:v>
      </x:c>
      <x:c r="I21" s="5" t="str">
        <x:v>EQ</x:v>
      </x:c>
      <x:c r="J21" s="10" t="n">
        <x:v>53.55</x:v>
      </x:c>
      <x:c r="K21" s="10" t="n">
        <x:v>54.15</x:v>
      </x:c>
      <x:c r="L21" s="5" t="str">
        <x:v>NIST Tboil compilation</x:v>
      </x:c>
      <x:c r="M21" s="5" t="str">
        <x:v>101.325 kPa; normal convention, not separately reported</x:v>
      </x:c>
      <x:c r="N21" s="5" t="str">
        <x:v>Reported compilation spread/TRC uncertainty retained as a conservative screening envelope, not a confidence interval or measurement precision. NIST AVG compilation.</x:v>
      </x:c>
      <x:c r="O21" s="5" t="str">
        <x:v>CF004_nist</x:v>
      </x:c>
      <x:c r="P21" s="5" t="str">
        <x:v>https://webbook.nist.gov/cgi/cbook.cgi?ID=C691372&amp;Mask=4</x:v>
      </x:c>
      <x:c r="Q21" s="17" t="n">
        <x:v>46294</x:v>
      </x:c>
    </x:row>
    <x:row r="22" ht="15" hidden="0" customHeight="1">
      <x:c r="A22" s="5" t="str">
        <x:v>O021</x:v>
      </x:c>
      <x:c r="B22" s="5" t="str">
        <x:v>CF004</x:v>
      </x:c>
      <x:c r="C22" s="5" t="str">
        <x:v>flash_point</x:v>
      </x:c>
      <x:c r="D22" s="5" t="str">
        <x:v>-32 °C</x:v>
      </x:c>
      <x:c r="E22" s="5" t="str">
        <x:v>degC</x:v>
      </x:c>
      <x:c r="F22" s="10" t="n">
        <x:v>-32</x:v>
      </x:c>
      <x:c r="G22" s="10" t="n">
        <x:v>-32</x:v>
      </x:c>
      <x:c r="H22" s="10"/>
      <x:c r="I22" s="5" t="str">
        <x:v>EQ</x:v>
      </x:c>
      <x:c r="J22" s="10" t="n">
        <x:v>-32</x:v>
      </x:c>
      <x:c r="K22" s="10" t="n">
        <x:v>-32</x:v>
      </x:c>
      <x:c r="L22" s="5" t="str">
        <x:v>not specified in retrieved record</x:v>
      </x:c>
      <x:c r="M22" s="5"/>
      <x:c r="N22" s="5" t="str">
        <x:v>Supplier-reported product value; specimen and test report not obtained.</x:v>
      </x:c>
      <x:c r="O22" s="5" t="str">
        <x:v>CF004_supplier</x:v>
      </x:c>
      <x:c r="P22" s="5" t="str">
        <x:v>https://www.tcichemicals.com/SG/en/p/M0392</x:v>
      </x:c>
      <x:c r="Q22" s="17" t="n">
        <x:v>46294</x:v>
      </x:c>
    </x:row>
    <x:row r="23" ht="15" hidden="0" customHeight="1">
      <x:c r="A23" s="5" t="str">
        <x:v>O022</x:v>
      </x:c>
      <x:c r="B23" s="5" t="str">
        <x:v>CF004</x:v>
      </x:c>
      <x:c r="C23" s="5" t="str">
        <x:v>supplier_boiling_point</x:v>
      </x:c>
      <x:c r="D23" s="5" t="str">
        <x:v>53 °C</x:v>
      </x:c>
      <x:c r="E23" s="5"/>
      <x:c r="F23" s="10"/>
      <x:c r="G23" s="10"/>
      <x:c r="H23" s="10"/>
      <x:c r="I23" s="5" t="str">
        <x:v>EQ</x:v>
      </x:c>
      <x:c r="J23" s="10"/>
      <x:c r="K23" s="10"/>
      <x:c r="L23" s="5" t="str">
        <x:v>supplier literature/reference value</x:v>
      </x:c>
      <x:c r="M23" s="5"/>
      <x:c r="N23" s="5" t="str">
        <x:v>Pressure is not inferred from an unqualified supplier boiling point.</x:v>
      </x:c>
      <x:c r="O23" s="5" t="str">
        <x:v>CF004_supplier</x:v>
      </x:c>
      <x:c r="P23" s="5" t="str">
        <x:v>https://www.tcichemicals.com/SG/en/p/M0392</x:v>
      </x:c>
      <x:c r="Q23" s="17" t="n">
        <x:v>46294</x:v>
      </x:c>
    </x:row>
    <x:row r="24" ht="15" hidden="0" customHeight="1">
      <x:c r="A24" s="5" t="str">
        <x:v>O023</x:v>
      </x:c>
      <x:c r="B24" s="5" t="str">
        <x:v>CF004</x:v>
      </x:c>
      <x:c r="C24" s="5" t="str">
        <x:v>hazard_codes</x:v>
      </x:c>
      <x:c r="D24" s="5" t="str">
        <x:v>H225, H304</x:v>
      </x:c>
      <x:c r="E24" s="5"/>
      <x:c r="F24" s="10"/>
      <x:c r="G24" s="10"/>
      <x:c r="H24" s="10"/>
      <x:c r="I24" s="5" t="str">
        <x:v>EQ</x:v>
      </x:c>
      <x:c r="J24" s="10"/>
      <x:c r="K24" s="10"/>
      <x:c r="L24" s="5"/>
      <x:c r="M24" s="5"/>
      <x:c r="N24" s="5"/>
      <x:c r="O24" s="5" t="str">
        <x:v>CF004_supplier</x:v>
      </x:c>
      <x:c r="P24" s="5" t="str">
        <x:v>https://www.tcichemicals.com/SG/en/p/M0392</x:v>
      </x:c>
      <x:c r="Q24" s="17" t="n">
        <x:v>46294</x:v>
      </x:c>
    </x:row>
    <x:row r="25" ht="24" hidden="0" customHeight="1">
      <x:c r="A25" s="5" t="str">
        <x:v>O024</x:v>
      </x:c>
      <x:c r="B25" s="5" t="str">
        <x:v>CF005</x:v>
      </x:c>
      <x:c r="C25" s="5" t="str">
        <x:v>normal_boiling_point</x:v>
      </x:c>
      <x:c r="D25" s="5" t="str">
        <x:v>330. K</x:v>
      </x:c>
      <x:c r="E25" s="5" t="str">
        <x:v>K</x:v>
      </x:c>
      <x:c r="F25" s="10" t="n">
        <x:v>330</x:v>
      </x:c>
      <x:c r="G25" s="10" t="n">
        <x:v>330</x:v>
      </x:c>
      <x:c r="H25" s="10"/>
      <x:c r="I25" s="5" t="str">
        <x:v>EQ</x:v>
      </x:c>
      <x:c r="J25" s="10" t="n">
        <x:v>56.85</x:v>
      </x:c>
      <x:c r="K25" s="10" t="n">
        <x:v>56.85</x:v>
      </x:c>
      <x:c r="L25" s="5" t="str">
        <x:v>NIST Tboil compilation</x:v>
      </x:c>
      <x:c r="M25" s="5" t="str">
        <x:v>101.325 kPa; normal convention, not separately reported</x:v>
      </x:c>
      <x:c r="N25" s="5" t="str">
        <x:v>Reported compilation spread/TRC uncertainty retained as a conservative screening envelope, not a confidence interval or measurement precision. Individually listed reference value.</x:v>
      </x:c>
      <x:c r="O25" s="5" t="str">
        <x:v>CF005_nist_retry</x:v>
      </x:c>
      <x:c r="P25" s="5" t="str">
        <x:v>https://webbook.nist.gov/cgi/inchi?ID=C922598&amp;Mask=4</x:v>
      </x:c>
      <x:c r="Q25" s="17" t="n">
        <x:v>46294</x:v>
      </x:c>
    </x:row>
    <x:row r="26" ht="24" hidden="0" customHeight="1">
      <x:c r="A26" s="5" t="str">
        <x:v>O025</x:v>
      </x:c>
      <x:c r="B26" s="5" t="str">
        <x:v>CF005</x:v>
      </x:c>
      <x:c r="C26" s="5" t="str">
        <x:v>normal_boiling_point</x:v>
      </x:c>
      <x:c r="D26" s="5" t="str">
        <x:v>330.85 K; TRC uncertainty 0.4 K</x:v>
      </x:c>
      <x:c r="E26" s="5" t="str">
        <x:v>K</x:v>
      </x:c>
      <x:c r="F26" s="10" t="n">
        <x:v>330.45000000000005</x:v>
      </x:c>
      <x:c r="G26" s="10" t="n">
        <x:v>331.25</x:v>
      </x:c>
      <x:c r="H26" s="10" t="n">
        <x:v>0.4</x:v>
      </x:c>
      <x:c r="I26" s="5" t="str">
        <x:v>EQ</x:v>
      </x:c>
      <x:c r="J26" s="10" t="n">
        <x:v>57.3</x:v>
      </x:c>
      <x:c r="K26" s="10" t="n">
        <x:v>58.1</x:v>
      </x:c>
      <x:c r="L26" s="5" t="str">
        <x:v>NIST Tboil compilation</x:v>
      </x:c>
      <x:c r="M26" s="5" t="str">
        <x:v>101.325 kPa; normal convention, not separately reported</x:v>
      </x:c>
      <x:c r="N26" s="5" t="str">
        <x:v>Reported compilation spread/TRC uncertainty retained as a conservative screening envelope, not a confidence interval or measurement precision. Individually listed reference value.</x:v>
      </x:c>
      <x:c r="O26" s="5" t="str">
        <x:v>CF005_nist_retry</x:v>
      </x:c>
      <x:c r="P26" s="5" t="str">
        <x:v>https://webbook.nist.gov/cgi/inchi?ID=C922598&amp;Mask=4</x:v>
      </x:c>
      <x:c r="Q26" s="17" t="n">
        <x:v>46294</x:v>
      </x:c>
    </x:row>
    <x:row r="27" ht="24" hidden="0" customHeight="1">
      <x:c r="A27" s="5" t="str">
        <x:v>O026</x:v>
      </x:c>
      <x:c r="B27" s="5" t="str">
        <x:v>CF006</x:v>
      </x:c>
      <x:c r="C27" s="5" t="str">
        <x:v>normal_boiling_point</x:v>
      </x:c>
      <x:c r="D27" s="5" t="str">
        <x:v>321.35 K; TRC uncertainty 0.4 K</x:v>
      </x:c>
      <x:c r="E27" s="5" t="str">
        <x:v>K</x:v>
      </x:c>
      <x:c r="F27" s="10" t="n">
        <x:v>320.95000000000005</x:v>
      </x:c>
      <x:c r="G27" s="10" t="n">
        <x:v>321.75</x:v>
      </x:c>
      <x:c r="H27" s="10" t="n">
        <x:v>0.4</x:v>
      </x:c>
      <x:c r="I27" s="5" t="str">
        <x:v>EQ</x:v>
      </x:c>
      <x:c r="J27" s="10" t="n">
        <x:v>47.8</x:v>
      </x:c>
      <x:c r="K27" s="10" t="n">
        <x:v>48.6</x:v>
      </x:c>
      <x:c r="L27" s="5" t="str">
        <x:v>NIST Tboil compilation</x:v>
      </x:c>
      <x:c r="M27" s="5" t="str">
        <x:v>101.325 kPa; normal convention, not separately reported</x:v>
      </x:c>
      <x:c r="N27" s="5" t="str">
        <x:v>Reported compilation spread/TRC uncertainty retained as a conservative screening envelope, not a confidence interval or measurement precision. Individually listed reference value.</x:v>
      </x:c>
      <x:c r="O27" s="5" t="str">
        <x:v>CF006_nist</x:v>
      </x:c>
      <x:c r="P27" s="5" t="str">
        <x:v>https://webbook.nist.gov/cgi/cbook.cgi?ID=C591968&amp;Mask=4</x:v>
      </x:c>
      <x:c r="Q27" s="17" t="n">
        <x:v>46294</x:v>
      </x:c>
    </x:row>
    <x:row r="28" ht="24" hidden="0" customHeight="1">
      <x:c r="A28" s="5" t="str">
        <x:v>O027</x:v>
      </x:c>
      <x:c r="B28" s="5" t="str">
        <x:v>CF007</x:v>
      </x:c>
      <x:c r="C28" s="5" t="str">
        <x:v>normal_boiling_point</x:v>
      </x:c>
      <x:c r="D28" s="5" t="str">
        <x:v>318.1 K; TRC uncertainty 0.4 K</x:v>
      </x:c>
      <x:c r="E28" s="5" t="str">
        <x:v>K</x:v>
      </x:c>
      <x:c r="F28" s="10" t="n">
        <x:v>317.70000000000005</x:v>
      </x:c>
      <x:c r="G28" s="10" t="n">
        <x:v>318.5</x:v>
      </x:c>
      <x:c r="H28" s="10" t="n">
        <x:v>0.4</x:v>
      </x:c>
      <x:c r="I28" s="5" t="str">
        <x:v>EQ</x:v>
      </x:c>
      <x:c r="J28" s="10" t="n">
        <x:v>44.55</x:v>
      </x:c>
      <x:c r="K28" s="10" t="n">
        <x:v>45.35</x:v>
      </x:c>
      <x:c r="L28" s="5" t="str">
        <x:v>NIST Tboil compilation</x:v>
      </x:c>
      <x:c r="M28" s="5" t="str">
        <x:v>101.325 kPa; normal convention, not separately reported</x:v>
      </x:c>
      <x:c r="N28" s="5" t="str">
        <x:v>Reported compilation spread/TRC uncertainty retained as a conservative screening envelope, not a confidence interval or measurement precision. Individually listed reference value.</x:v>
      </x:c>
      <x:c r="O28" s="5" t="str">
        <x:v>CF007_nist</x:v>
      </x:c>
      <x:c r="P28" s="5" t="str">
        <x:v>https://webbook.nist.gov/cgi/cbook.cgi?ID=C591957&amp;Mask=4</x:v>
      </x:c>
      <x:c r="Q28" s="17" t="n">
        <x:v>46294</x:v>
      </x:c>
    </x:row>
    <x:row r="29" ht="24" hidden="0" customHeight="1">
      <x:c r="A29" s="5" t="str">
        <x:v>O028</x:v>
      </x:c>
      <x:c r="B29" s="5" t="str">
        <x:v>CF007</x:v>
      </x:c>
      <x:c r="C29" s="5" t="str">
        <x:v>normal_boiling_point</x:v>
      </x:c>
      <x:c r="D29" s="5" t="str">
        <x:v>319. K; TRC uncertainty 2. K</x:v>
      </x:c>
      <x:c r="E29" s="5" t="str">
        <x:v>K</x:v>
      </x:c>
      <x:c r="F29" s="10" t="n">
        <x:v>317</x:v>
      </x:c>
      <x:c r="G29" s="10" t="n">
        <x:v>321</x:v>
      </x:c>
      <x:c r="H29" s="10" t="n">
        <x:v>2</x:v>
      </x:c>
      <x:c r="I29" s="5" t="str">
        <x:v>EQ</x:v>
      </x:c>
      <x:c r="J29" s="10" t="n">
        <x:v>43.85</x:v>
      </x:c>
      <x:c r="K29" s="10" t="n">
        <x:v>47.85</x:v>
      </x:c>
      <x:c r="L29" s="5" t="str">
        <x:v>NIST Tboil compilation</x:v>
      </x:c>
      <x:c r="M29" s="5" t="str">
        <x:v>101.325 kPa; normal convention, not separately reported</x:v>
      </x:c>
      <x:c r="N29" s="5" t="str">
        <x:v>Reported compilation spread/TRC uncertainty retained as a conservative screening envelope, not a confidence interval or measurement precision. Individually listed reference value.</x:v>
      </x:c>
      <x:c r="O29" s="5" t="str">
        <x:v>CF007_nist</x:v>
      </x:c>
      <x:c r="P29" s="5" t="str">
        <x:v>https://webbook.nist.gov/cgi/cbook.cgi?ID=C591957&amp;Mask=4</x:v>
      </x:c>
      <x:c r="Q29" s="17" t="n">
        <x:v>46294</x:v>
      </x:c>
    </x:row>
    <x:row r="30" ht="24" hidden="0" customHeight="1">
      <x:c r="A30" s="5" t="str">
        <x:v>O029</x:v>
      </x:c>
      <x:c r="B30" s="5" t="str">
        <x:v>CF007</x:v>
      </x:c>
      <x:c r="C30" s="5" t="str">
        <x:v>normal_boiling_point</x:v>
      </x:c>
      <x:c r="D30" s="5" t="str">
        <x:v>318. K; TRC uncertainty 1. K</x:v>
      </x:c>
      <x:c r="E30" s="5" t="str">
        <x:v>K</x:v>
      </x:c>
      <x:c r="F30" s="10" t="n">
        <x:v>317</x:v>
      </x:c>
      <x:c r="G30" s="10" t="n">
        <x:v>319</x:v>
      </x:c>
      <x:c r="H30" s="10" t="n">
        <x:v>1</x:v>
      </x:c>
      <x:c r="I30" s="5" t="str">
        <x:v>EQ</x:v>
      </x:c>
      <x:c r="J30" s="10" t="n">
        <x:v>43.85</x:v>
      </x:c>
      <x:c r="K30" s="10" t="n">
        <x:v>45.85</x:v>
      </x:c>
      <x:c r="L30" s="5" t="str">
        <x:v>NIST Tboil compilation</x:v>
      </x:c>
      <x:c r="M30" s="5" t="str">
        <x:v>101.325 kPa; normal convention, not separately reported</x:v>
      </x:c>
      <x:c r="N30" s="5" t="str">
        <x:v>Reported compilation spread/TRC uncertainty retained as a conservative screening envelope, not a confidence interval or measurement precision. Individually listed reference value.</x:v>
      </x:c>
      <x:c r="O30" s="5" t="str">
        <x:v>CF007_nist</x:v>
      </x:c>
      <x:c r="P30" s="5" t="str">
        <x:v>https://webbook.nist.gov/cgi/cbook.cgi?ID=C591957&amp;Mask=4</x:v>
      </x:c>
      <x:c r="Q30" s="17" t="n">
        <x:v>46294</x:v>
      </x:c>
    </x:row>
    <x:row r="31" ht="15" hidden="0" customHeight="1">
      <x:c r="A31" s="5" t="str">
        <x:v>O030</x:v>
      </x:c>
      <x:c r="B31" s="5" t="str">
        <x:v>CF007</x:v>
      </x:c>
      <x:c r="C31" s="5" t="str">
        <x:v>flash_point</x:v>
      </x:c>
      <x:c r="D31" s="5" t="str">
        <x:v>-37 °C</x:v>
      </x:c>
      <x:c r="E31" s="5" t="str">
        <x:v>degC</x:v>
      </x:c>
      <x:c r="F31" s="10" t="n">
        <x:v>-37</x:v>
      </x:c>
      <x:c r="G31" s="10" t="n">
        <x:v>-37</x:v>
      </x:c>
      <x:c r="H31" s="10"/>
      <x:c r="I31" s="5" t="str">
        <x:v>EQ</x:v>
      </x:c>
      <x:c r="J31" s="10" t="n">
        <x:v>-37</x:v>
      </x:c>
      <x:c r="K31" s="10" t="n">
        <x:v>-37</x:v>
      </x:c>
      <x:c r="L31" s="5" t="str">
        <x:v>not specified in retrieved record</x:v>
      </x:c>
      <x:c r="M31" s="5"/>
      <x:c r="N31" s="5" t="str">
        <x:v>Supplier-reported product value; specimen and test report not obtained.</x:v>
      </x:c>
      <x:c r="O31" s="5" t="str">
        <x:v>CF007_supplier</x:v>
      </x:c>
      <x:c r="P31" s="5" t="str">
        <x:v>https://www.tcichemicals.com/US/en/p/P0805</x:v>
      </x:c>
      <x:c r="Q31" s="17" t="n">
        <x:v>46294</x:v>
      </x:c>
    </x:row>
    <x:row r="32" ht="15" hidden="0" customHeight="1">
      <x:c r="A32" s="5" t="str">
        <x:v>O031</x:v>
      </x:c>
      <x:c r="B32" s="5" t="str">
        <x:v>CF007</x:v>
      </x:c>
      <x:c r="C32" s="5" t="str">
        <x:v>supplier_boiling_point</x:v>
      </x:c>
      <x:c r="D32" s="5" t="str">
        <x:v>45 °C</x:v>
      </x:c>
      <x:c r="E32" s="5"/>
      <x:c r="F32" s="10"/>
      <x:c r="G32" s="10"/>
      <x:c r="H32" s="10"/>
      <x:c r="I32" s="5" t="str">
        <x:v>EQ</x:v>
      </x:c>
      <x:c r="J32" s="10"/>
      <x:c r="K32" s="10"/>
      <x:c r="L32" s="5" t="str">
        <x:v>supplier literature/reference value</x:v>
      </x:c>
      <x:c r="M32" s="5"/>
      <x:c r="N32" s="5" t="str">
        <x:v>Pressure is not inferred from an unqualified supplier boiling point.</x:v>
      </x:c>
      <x:c r="O32" s="5" t="str">
        <x:v>CF007_supplier</x:v>
      </x:c>
      <x:c r="P32" s="5" t="str">
        <x:v>https://www.tcichemicals.com/US/en/p/P0805</x:v>
      </x:c>
      <x:c r="Q32" s="17" t="n">
        <x:v>46294</x:v>
      </x:c>
    </x:row>
    <x:row r="33" ht="15" hidden="0" customHeight="1">
      <x:c r="A33" s="5" t="str">
        <x:v>O032</x:v>
      </x:c>
      <x:c r="B33" s="5" t="str">
        <x:v>CF007</x:v>
      </x:c>
      <x:c r="C33" s="5" t="str">
        <x:v>hazard_codes</x:v>
      </x:c>
      <x:c r="D33" s="5" t="str">
        <x:v>H225</x:v>
      </x:c>
      <x:c r="E33" s="5"/>
      <x:c r="F33" s="10"/>
      <x:c r="G33" s="10"/>
      <x:c r="H33" s="10"/>
      <x:c r="I33" s="5" t="str">
        <x:v>EQ</x:v>
      </x:c>
      <x:c r="J33" s="10"/>
      <x:c r="K33" s="10"/>
      <x:c r="L33" s="5"/>
      <x:c r="M33" s="5"/>
      <x:c r="N33" s="5"/>
      <x:c r="O33" s="5" t="str">
        <x:v>CF007_supplier</x:v>
      </x:c>
      <x:c r="P33" s="5" t="str">
        <x:v>https://www.tcichemicals.com/US/en/p/P0805</x:v>
      </x:c>
      <x:c r="Q33" s="17" t="n">
        <x:v>46294</x:v>
      </x:c>
    </x:row>
    <x:row r="34" ht="24" hidden="0" customHeight="1">
      <x:c r="A34" s="5" t="str">
        <x:v>O033</x:v>
      </x:c>
      <x:c r="B34" s="5" t="str">
        <x:v>CF008</x:v>
      </x:c>
      <x:c r="C34" s="5" t="str">
        <x:v>normal_boiling_point</x:v>
      </x:c>
      <x:c r="D34" s="5" t="str">
        <x:v>327. ± 1. K</x:v>
      </x:c>
      <x:c r="E34" s="5" t="str">
        <x:v>K</x:v>
      </x:c>
      <x:c r="F34" s="10" t="n">
        <x:v>326</x:v>
      </x:c>
      <x:c r="G34" s="10" t="n">
        <x:v>328</x:v>
      </x:c>
      <x:c r="H34" s="10" t="n">
        <x:v>1</x:v>
      </x:c>
      <x:c r="I34" s="5" t="str">
        <x:v>EQ</x:v>
      </x:c>
      <x:c r="J34" s="10" t="n">
        <x:v>52.85</x:v>
      </x:c>
      <x:c r="K34" s="10" t="n">
        <x:v>54.85</x:v>
      </x:c>
      <x:c r="L34" s="5" t="str">
        <x:v>NIST Tboil compilation</x:v>
      </x:c>
      <x:c r="M34" s="5" t="str">
        <x:v>101.325 kPa; normal convention, not separately reported</x:v>
      </x:c>
      <x:c r="N34" s="5" t="str">
        <x:v>Reported compilation spread/TRC uncertainty retained as a conservative screening envelope, not a confidence interval or measurement precision. NIST AVG compilation.</x:v>
      </x:c>
      <x:c r="O34" s="5" t="str">
        <x:v>CF008_nist</x:v>
      </x:c>
      <x:c r="P34" s="5" t="str">
        <x:v>https://webbook.nist.gov/cgi/cbook.cgi?ID=C109944&amp;Mask=4</x:v>
      </x:c>
      <x:c r="Q34" s="17" t="n">
        <x:v>46294</x:v>
      </x:c>
    </x:row>
    <x:row r="35" ht="15" hidden="0" customHeight="1">
      <x:c r="A35" s="5" t="str">
        <x:v>O034</x:v>
      </x:c>
      <x:c r="B35" s="5" t="str">
        <x:v>CF008</x:v>
      </x:c>
      <x:c r="C35" s="5" t="str">
        <x:v>flash_point</x:v>
      </x:c>
      <x:c r="D35" s="5" t="str">
        <x:v>-20 °C - closed cup</x:v>
      </x:c>
      <x:c r="E35" s="5" t="str">
        <x:v>degC</x:v>
      </x:c>
      <x:c r="F35" s="10" t="n">
        <x:v>-20</x:v>
      </x:c>
      <x:c r="G35" s="10" t="n">
        <x:v>-20</x:v>
      </x:c>
      <x:c r="H35" s="10"/>
      <x:c r="I35" s="5" t="str">
        <x:v>EQ</x:v>
      </x:c>
      <x:c r="J35" s="10" t="n">
        <x:v>-20</x:v>
      </x:c>
      <x:c r="K35" s="10" t="n">
        <x:v>-20</x:v>
      </x:c>
      <x:c r="L35" s="5" t="str">
        <x:v>closed cup; test standard not specified</x:v>
      </x:c>
      <x:c r="M35" s="5"/>
      <x:c r="N35" s="5" t="str">
        <x:v>Supplier-reported product value; specimen and test report not obtained.</x:v>
      </x:c>
      <x:c r="O35" s="5" t="str">
        <x:v>CF008_supplier</x:v>
      </x:c>
      <x:c r="P35" s="5" t="str">
        <x:v>https://www.sigmaaldrich.com/US/en/product/sial/112682</x:v>
      </x:c>
      <x:c r="Q35" s="17" t="n">
        <x:v>46294</x:v>
      </x:c>
    </x:row>
    <x:row r="36" ht="15" hidden="0" customHeight="1">
      <x:c r="A36" s="5" t="str">
        <x:v>O035</x:v>
      </x:c>
      <x:c r="B36" s="5" t="str">
        <x:v>CF008</x:v>
      </x:c>
      <x:c r="C36" s="5" t="str">
        <x:v>supplier_boiling_point</x:v>
      </x:c>
      <x:c r="D36" s="5" t="str">
        <x:v>52-54 °C (lit.)</x:v>
      </x:c>
      <x:c r="E36" s="5"/>
      <x:c r="F36" s="10"/>
      <x:c r="G36" s="10"/>
      <x:c r="H36" s="10"/>
      <x:c r="I36" s="5" t="str">
        <x:v>EQ</x:v>
      </x:c>
      <x:c r="J36" s="10"/>
      <x:c r="K36" s="10"/>
      <x:c r="L36" s="5" t="str">
        <x:v>supplier literature/reference value</x:v>
      </x:c>
      <x:c r="M36" s="5"/>
      <x:c r="N36" s="5" t="str">
        <x:v>Pressure is not inferred from an unqualified supplier boiling point.</x:v>
      </x:c>
      <x:c r="O36" s="5" t="str">
        <x:v>CF008_supplier</x:v>
      </x:c>
      <x:c r="P36" s="5" t="str">
        <x:v>https://www.sigmaaldrich.com/US/en/product/sial/112682</x:v>
      </x:c>
      <x:c r="Q36" s="17" t="n">
        <x:v>46294</x:v>
      </x:c>
    </x:row>
    <x:row r="37" ht="24" hidden="0" customHeight="1">
      <x:c r="A37" s="5" t="str">
        <x:v>O036</x:v>
      </x:c>
      <x:c r="B37" s="5" t="str">
        <x:v>CF008</x:v>
      </x:c>
      <x:c r="C37" s="5" t="str">
        <x:v>hazard_classification</x:v>
      </x:c>
      <x:c r="D37" s="5" t="str">
        <x:v>Acute Tox. 4 Inhalation - Acute Tox. 4 Oral - Eye Irrit. 2 - Flam. Liq. 2 - STOT SE 3</x:v>
      </x:c>
      <x:c r="E37" s="5"/>
      <x:c r="F37" s="10"/>
      <x:c r="G37" s="10"/>
      <x:c r="H37" s="10"/>
      <x:c r="I37" s="5" t="str">
        <x:v>EQ</x:v>
      </x:c>
      <x:c r="J37" s="10"/>
      <x:c r="K37" s="10"/>
      <x:c r="L37" s="5"/>
      <x:c r="M37" s="5"/>
      <x:c r="N37" s="5"/>
      <x:c r="O37" s="5" t="str">
        <x:v>CF008_supplier</x:v>
      </x:c>
      <x:c r="P37" s="5" t="str">
        <x:v>https://www.sigmaaldrich.com/US/en/product/sial/112682</x:v>
      </x:c>
      <x:c r="Q37" s="17" t="n">
        <x:v>46294</x:v>
      </x:c>
    </x:row>
    <x:row r="38" ht="15" hidden="0" customHeight="1">
      <x:c r="A38" s="5" t="str">
        <x:v>O037</x:v>
      </x:c>
      <x:c r="B38" s="5" t="str">
        <x:v>CF008</x:v>
      </x:c>
      <x:c r="C38" s="5" t="str">
        <x:v>hazard_codes</x:v>
      </x:c>
      <x:c r="D38" s="5" t="str">
        <x:v>H225, H302, H319, H332, H335</x:v>
      </x:c>
      <x:c r="E38" s="5"/>
      <x:c r="F38" s="10"/>
      <x:c r="G38" s="10"/>
      <x:c r="H38" s="10"/>
      <x:c r="I38" s="5" t="str">
        <x:v>EQ</x:v>
      </x:c>
      <x:c r="J38" s="10"/>
      <x:c r="K38" s="10"/>
      <x:c r="L38" s="5"/>
      <x:c r="M38" s="5"/>
      <x:c r="N38" s="5"/>
      <x:c r="O38" s="5" t="str">
        <x:v>CF008_supplier</x:v>
      </x:c>
      <x:c r="P38" s="5" t="str">
        <x:v>https://www.sigmaaldrich.com/US/en/product/sial/112682</x:v>
      </x:c>
      <x:c r="Q38" s="17" t="n">
        <x:v>46294</x:v>
      </x:c>
    </x:row>
    <x:row r="39" ht="24" hidden="0" customHeight="1">
      <x:c r="A39" s="5" t="str">
        <x:v>O038</x:v>
      </x:c>
      <x:c r="B39" s="5" t="str">
        <x:v>CF009</x:v>
      </x:c>
      <x:c r="C39" s="5" t="str">
        <x:v>normal_boiling_point</x:v>
      </x:c>
      <x:c r="D39" s="5" t="str">
        <x:v>322. ± 2. K</x:v>
      </x:c>
      <x:c r="E39" s="5" t="str">
        <x:v>K</x:v>
      </x:c>
      <x:c r="F39" s="10" t="n">
        <x:v>320</x:v>
      </x:c>
      <x:c r="G39" s="10" t="n">
        <x:v>324</x:v>
      </x:c>
      <x:c r="H39" s="10" t="n">
        <x:v>2</x:v>
      </x:c>
      <x:c r="I39" s="5" t="str">
        <x:v>EQ</x:v>
      </x:c>
      <x:c r="J39" s="10" t="n">
        <x:v>46.85</x:v>
      </x:c>
      <x:c r="K39" s="10" t="n">
        <x:v>50.85</x:v>
      </x:c>
      <x:c r="L39" s="5" t="str">
        <x:v>NIST Tboil compilation</x:v>
      </x:c>
      <x:c r="M39" s="5" t="str">
        <x:v>101.325 kPa; normal convention, not separately reported</x:v>
      </x:c>
      <x:c r="N39" s="5" t="str">
        <x:v>Reported compilation spread/TRC uncertainty retained as a conservative screening envelope, not a confidence interval or measurement precision. NIST AVG compilation.</x:v>
      </x:c>
      <x:c r="O39" s="5" t="str">
        <x:v>CF009_nist</x:v>
      </x:c>
      <x:c r="P39" s="5" t="str">
        <x:v>https://webbook.nist.gov/cgi/cbook.cgi?ID=C123386&amp;Mask=4</x:v>
      </x:c>
      <x:c r="Q39" s="17" t="n">
        <x:v>46294</x:v>
      </x:c>
    </x:row>
    <x:row r="40" ht="15" hidden="0" customHeight="1">
      <x:c r="A40" s="5" t="str">
        <x:v>O039</x:v>
      </x:c>
      <x:c r="B40" s="5" t="str">
        <x:v>CF009</x:v>
      </x:c>
      <x:c r="C40" s="5" t="str">
        <x:v>flash_point</x:v>
      </x:c>
      <x:c r="D40" s="5" t="str">
        <x:v>-30 °C - closed cup</x:v>
      </x:c>
      <x:c r="E40" s="5" t="str">
        <x:v>degC</x:v>
      </x:c>
      <x:c r="F40" s="10" t="n">
        <x:v>-30</x:v>
      </x:c>
      <x:c r="G40" s="10" t="n">
        <x:v>-30</x:v>
      </x:c>
      <x:c r="H40" s="10"/>
      <x:c r="I40" s="5" t="str">
        <x:v>EQ</x:v>
      </x:c>
      <x:c r="J40" s="10" t="n">
        <x:v>-30</x:v>
      </x:c>
      <x:c r="K40" s="10" t="n">
        <x:v>-30</x:v>
      </x:c>
      <x:c r="L40" s="5" t="str">
        <x:v>closed cup; test standard not specified</x:v>
      </x:c>
      <x:c r="M40" s="5"/>
      <x:c r="N40" s="5" t="str">
        <x:v>Supplier-reported product value; specimen and test report not obtained.</x:v>
      </x:c>
      <x:c r="O40" s="5" t="str">
        <x:v>CF009_supplier</x:v>
      </x:c>
      <x:c r="P40" s="5" t="str">
        <x:v>https://b2b.sigmaaldrich.com/US/en/product/sigald/538124</x:v>
      </x:c>
      <x:c r="Q40" s="17" t="n">
        <x:v>46294</x:v>
      </x:c>
    </x:row>
    <x:row r="41" ht="15" hidden="0" customHeight="1">
      <x:c r="A41" s="5" t="str">
        <x:v>O040</x:v>
      </x:c>
      <x:c r="B41" s="5" t="str">
        <x:v>CF009</x:v>
      </x:c>
      <x:c r="C41" s="5" t="str">
        <x:v>supplier_boiling_point</x:v>
      </x:c>
      <x:c r="D41" s="5" t="str">
        <x:v>46-50 °C (lit.)</x:v>
      </x:c>
      <x:c r="E41" s="5"/>
      <x:c r="F41" s="10"/>
      <x:c r="G41" s="10"/>
      <x:c r="H41" s="10"/>
      <x:c r="I41" s="5" t="str">
        <x:v>EQ</x:v>
      </x:c>
      <x:c r="J41" s="10"/>
      <x:c r="K41" s="10"/>
      <x:c r="L41" s="5" t="str">
        <x:v>supplier literature/reference value</x:v>
      </x:c>
      <x:c r="M41" s="5"/>
      <x:c r="N41" s="5" t="str">
        <x:v>Pressure is not inferred from an unqualified supplier boiling point.</x:v>
      </x:c>
      <x:c r="O41" s="5" t="str">
        <x:v>CF009_supplier</x:v>
      </x:c>
      <x:c r="P41" s="5" t="str">
        <x:v>https://b2b.sigmaaldrich.com/US/en/product/sigald/538124</x:v>
      </x:c>
      <x:c r="Q41" s="17" t="n">
        <x:v>46294</x:v>
      </x:c>
    </x:row>
    <x:row r="42" ht="36" hidden="0" customHeight="1">
      <x:c r="A42" s="5" t="str">
        <x:v>O041</x:v>
      </x:c>
      <x:c r="B42" s="5" t="str">
        <x:v>CF009</x:v>
      </x:c>
      <x:c r="C42" s="5" t="str">
        <x:v>hazard_classification</x:v>
      </x:c>
      <x:c r="D42" s="5" t="str">
        <x:v>Acute Tox. 4 Inhalation - Acute Tox. 4 Oral - Eye Dam. 1 - Flam. Liq. 2 - Skin Irrit. 2 - STOT SE 3</x:v>
      </x:c>
      <x:c r="E42" s="5"/>
      <x:c r="F42" s="10"/>
      <x:c r="G42" s="10"/>
      <x:c r="H42" s="10"/>
      <x:c r="I42" s="5" t="str">
        <x:v>EQ</x:v>
      </x:c>
      <x:c r="J42" s="10"/>
      <x:c r="K42" s="10"/>
      <x:c r="L42" s="5"/>
      <x:c r="M42" s="5"/>
      <x:c r="N42" s="5"/>
      <x:c r="O42" s="5" t="str">
        <x:v>CF009_supplier</x:v>
      </x:c>
      <x:c r="P42" s="5" t="str">
        <x:v>https://b2b.sigmaaldrich.com/US/en/product/sigald/538124</x:v>
      </x:c>
      <x:c r="Q42" s="17" t="n">
        <x:v>46294</x:v>
      </x:c>
    </x:row>
    <x:row r="43" ht="15" hidden="0" customHeight="1">
      <x:c r="A43" s="5" t="str">
        <x:v>O042</x:v>
      </x:c>
      <x:c r="B43" s="5" t="str">
        <x:v>CF009</x:v>
      </x:c>
      <x:c r="C43" s="5" t="str">
        <x:v>hazard_codes</x:v>
      </x:c>
      <x:c r="D43" s="5" t="str">
        <x:v>H225, H302, H315, H318, H332, H335</x:v>
      </x:c>
      <x:c r="E43" s="5"/>
      <x:c r="F43" s="10"/>
      <x:c r="G43" s="10"/>
      <x:c r="H43" s="10"/>
      <x:c r="I43" s="5" t="str">
        <x:v>EQ</x:v>
      </x:c>
      <x:c r="J43" s="10"/>
      <x:c r="K43" s="10"/>
      <x:c r="L43" s="5"/>
      <x:c r="M43" s="5"/>
      <x:c r="N43" s="5"/>
      <x:c r="O43" s="5" t="str">
        <x:v>CF009_supplier</x:v>
      </x:c>
      <x:c r="P43" s="5" t="str">
        <x:v>https://b2b.sigmaaldrich.com/US/en/product/sigald/538124</x:v>
      </x:c>
      <x:c r="Q43" s="17" t="n">
        <x:v>46294</x:v>
      </x:c>
    </x:row>
    <x:row r="44" ht="24" hidden="0" customHeight="1">
      <x:c r="A44" s="5" t="str">
        <x:v>O043</x:v>
      </x:c>
      <x:c r="B44" s="5" t="str">
        <x:v>CF010</x:v>
      </x:c>
      <x:c r="C44" s="5" t="str">
        <x:v>normal_boiling_point</x:v>
      </x:c>
      <x:c r="D44" s="5" t="str">
        <x:v>330. ± 30. K</x:v>
      </x:c>
      <x:c r="E44" s="5" t="str">
        <x:v>K</x:v>
      </x:c>
      <x:c r="F44" s="10" t="n">
        <x:v>300</x:v>
      </x:c>
      <x:c r="G44" s="10" t="n">
        <x:v>360</x:v>
      </x:c>
      <x:c r="H44" s="10" t="n">
        <x:v>30</x:v>
      </x:c>
      <x:c r="I44" s="5" t="str">
        <x:v>EQ</x:v>
      </x:c>
      <x:c r="J44" s="10" t="n">
        <x:v>26.85</x:v>
      </x:c>
      <x:c r="K44" s="10" t="n">
        <x:v>86.85</x:v>
      </x:c>
      <x:c r="L44" s="5" t="str">
        <x:v>NIST Tboil compilation</x:v>
      </x:c>
      <x:c r="M44" s="5" t="str">
        <x:v>101.325 kPa; normal convention, not separately reported</x:v>
      </x:c>
      <x:c r="N44" s="5" t="str">
        <x:v>Reported compilation spread/TRC uncertainty retained as a conservative screening envelope, not a confidence interval or measurement precision. NIST AVG compilation.</x:v>
      </x:c>
      <x:c r="O44" s="5" t="str">
        <x:v>CF010_nist</x:v>
      </x:c>
      <x:c r="P44" s="5" t="str">
        <x:v>https://webbook.nist.gov/cgi/cbook.cgi?ID=C107028&amp;Mask=4</x:v>
      </x:c>
      <x:c r="Q44" s="17" t="n">
        <x:v>46294</x:v>
      </x:c>
    </x:row>
    <x:row r="45" ht="15" hidden="0" customHeight="1">
      <x:c r="A45" s="5" t="str">
        <x:v>O044</x:v>
      </x:c>
      <x:c r="B45" s="5" t="str">
        <x:v>CF010</x:v>
      </x:c>
      <x:c r="C45" s="5" t="str">
        <x:v>government_boiling_point</x:v>
      </x:c>
      <x:c r="D45" s="5" t="str">
        <x:v>127°F</x:v>
      </x:c>
      <x:c r="E45" s="5"/>
      <x:c r="F45" s="10"/>
      <x:c r="G45" s="10"/>
      <x:c r="H45" s="10"/>
      <x:c r="I45" s="5" t="str">
        <x:v>EQ</x:v>
      </x:c>
      <x:c r="J45" s="10"/>
      <x:c r="K45" s="10"/>
      <x:c r="L45" s="5" t="str">
        <x:v>NIOSH reference value</x:v>
      </x:c>
      <x:c r="M45" s="5"/>
      <x:c r="N45" s="5" t="str">
        <x:v>Corroborating value; NIST envelope remains the declared screen.</x:v>
      </x:c>
      <x:c r="O45" s="5" t="str">
        <x:v>CF010_niosh</x:v>
      </x:c>
      <x:c r="P45" s="5" t="str">
        <x:v>https://www.cdc.gov/niosh/npg/npgd0011.html</x:v>
      </x:c>
      <x:c r="Q45" s="17" t="n">
        <x:v>46294</x:v>
      </x:c>
    </x:row>
    <x:row r="46" ht="15" hidden="0" customHeight="1">
      <x:c r="A46" s="5" t="str">
        <x:v>O045</x:v>
      </x:c>
      <x:c r="B46" s="5" t="str">
        <x:v>CF010</x:v>
      </x:c>
      <x:c r="C46" s="5" t="str">
        <x:v>flash_point</x:v>
      </x:c>
      <x:c r="D46" s="5" t="str">
        <x:v>-15°F</x:v>
      </x:c>
      <x:c r="E46" s="5" t="str">
        <x:v>degF</x:v>
      </x:c>
      <x:c r="F46" s="10" t="n">
        <x:v>-15</x:v>
      </x:c>
      <x:c r="G46" s="10" t="n">
        <x:v>-15</x:v>
      </x:c>
      <x:c r="H46" s="10"/>
      <x:c r="I46" s="5" t="str">
        <x:v>EQ</x:v>
      </x:c>
      <x:c r="J46" s="10" t="n">
        <x:v>-26.111111</x:v>
      </x:c>
      <x:c r="K46" s="10" t="n">
        <x:v>-26.111111</x:v>
      </x:c>
      <x:c r="L46" s="5" t="str">
        <x:v>not specified in NIOSH entry</x:v>
      </x:c>
      <x:c r="M46" s="5"/>
      <x:c r="N46" s="5" t="str">
        <x:v>Government-reported reference value; converted with (F−32)×5/9.</x:v>
      </x:c>
      <x:c r="O46" s="5" t="str">
        <x:v>CF010_niosh</x:v>
      </x:c>
      <x:c r="P46" s="5" t="str">
        <x:v>https://www.cdc.gov/niosh/npg/npgd0011.html</x:v>
      </x:c>
      <x:c r="Q46" s="17" t="n">
        <x:v>46294</x:v>
      </x:c>
    </x:row>
    <x:row r="47" ht="24" hidden="0" customHeight="1">
      <x:c r="A47" s="5" t="str">
        <x:v>O046</x:v>
      </x:c>
      <x:c r="B47" s="5" t="str">
        <x:v>CF010</x:v>
      </x:c>
      <x:c r="C47" s="5" t="str">
        <x:v>fire_description</x:v>
      </x:c>
      <x:c r="D47" s="5" t="str">
        <x:v>Class IB Flammable Liquid: Fl.P. below 73°F and BP at or above 100°F.</x:v>
      </x:c>
      <x:c r="E47" s="5"/>
      <x:c r="F47" s="10"/>
      <x:c r="G47" s="10"/>
      <x:c r="H47" s="10"/>
      <x:c r="I47" s="5" t="str">
        <x:v>EQ</x:v>
      </x:c>
      <x:c r="J47" s="10"/>
      <x:c r="K47" s="10"/>
      <x:c r="L47" s="5"/>
      <x:c r="M47" s="5"/>
      <x:c r="N47" s="5"/>
      <x:c r="O47" s="5" t="str">
        <x:v>CF010_niosh</x:v>
      </x:c>
      <x:c r="P47" s="5" t="str">
        <x:v>https://www.cdc.gov/niosh/npg/npgd0011.html</x:v>
      </x:c>
      <x:c r="Q47" s="17" t="n">
        <x:v>46294</x:v>
      </x:c>
    </x:row>
    <x:row r="48" ht="24" hidden="0" customHeight="1">
      <x:c r="A48" s="5" t="str">
        <x:v>O047</x:v>
      </x:c>
      <x:c r="B48" s="5" t="str">
        <x:v>CF011</x:v>
      </x:c>
      <x:c r="C48" s="5" t="str">
        <x:v>normal_boiling_point</x:v>
      </x:c>
      <x:c r="D48" s="5" t="str">
        <x:v>323.2 K</x:v>
      </x:c>
      <x:c r="E48" s="5" t="str">
        <x:v>K</x:v>
      </x:c>
      <x:c r="F48" s="10" t="n">
        <x:v>323.2</x:v>
      </x:c>
      <x:c r="G48" s="10" t="n">
        <x:v>323.2</x:v>
      </x:c>
      <x:c r="H48" s="10"/>
      <x:c r="I48" s="5" t="str">
        <x:v>EQ</x:v>
      </x:c>
      <x:c r="J48" s="10" t="n">
        <x:v>50.05</x:v>
      </x:c>
      <x:c r="K48" s="10" t="n">
        <x:v>50.05</x:v>
      </x:c>
      <x:c r="L48" s="5" t="str">
        <x:v>NIST Tboil compilation</x:v>
      </x:c>
      <x:c r="M48" s="5" t="str">
        <x:v>101.325 kPa; normal convention, not separately reported</x:v>
      </x:c>
      <x:c r="N48" s="5" t="str">
        <x:v>Reported compilation spread/TRC uncertainty retained as a conservative screening envelope, not a confidence interval or measurement precision. Individually listed reference value.</x:v>
      </x:c>
      <x:c r="O48" s="5" t="str">
        <x:v>CF011_nist</x:v>
      </x:c>
      <x:c r="P48" s="5" t="str">
        <x:v>https://webbook.nist.gov/cgi/cbook.cgi?ID=C503300&amp;Mask=4</x:v>
      </x:c>
      <x:c r="Q48" s="17" t="n">
        <x:v>46294</x:v>
      </x:c>
    </x:row>
    <x:row r="49" ht="24" hidden="0" customHeight="1">
      <x:c r="A49" s="5" t="str">
        <x:v>O048</x:v>
      </x:c>
      <x:c r="B49" s="5" t="str">
        <x:v>CF011</x:v>
      </x:c>
      <x:c r="C49" s="5" t="str">
        <x:v>normal_boiling_point</x:v>
      </x:c>
      <x:c r="D49" s="5" t="str">
        <x:v>320.7 K</x:v>
      </x:c>
      <x:c r="E49" s="5" t="str">
        <x:v>K</x:v>
      </x:c>
      <x:c r="F49" s="10" t="n">
        <x:v>320.7</x:v>
      </x:c>
      <x:c r="G49" s="10" t="n">
        <x:v>320.7</x:v>
      </x:c>
      <x:c r="H49" s="10"/>
      <x:c r="I49" s="5" t="str">
        <x:v>EQ</x:v>
      </x:c>
      <x:c r="J49" s="10" t="n">
        <x:v>47.55</x:v>
      </x:c>
      <x:c r="K49" s="10" t="n">
        <x:v>47.55</x:v>
      </x:c>
      <x:c r="L49" s="5" t="str">
        <x:v>NIST Tboil compilation</x:v>
      </x:c>
      <x:c r="M49" s="5" t="str">
        <x:v>101.325 kPa; normal convention, not separately reported</x:v>
      </x:c>
      <x:c r="N49" s="5" t="str">
        <x:v>Reported compilation spread/TRC uncertainty retained as a conservative screening envelope, not a confidence interval or measurement precision. Individually listed reference value.</x:v>
      </x:c>
      <x:c r="O49" s="5" t="str">
        <x:v>CF011_nist</x:v>
      </x:c>
      <x:c r="P49" s="5" t="str">
        <x:v>https://webbook.nist.gov/cgi/cbook.cgi?ID=C503300&amp;Mask=4</x:v>
      </x:c>
      <x:c r="Q49" s="17" t="n">
        <x:v>46294</x:v>
      </x:c>
    </x:row>
    <x:row r="50" ht="24" hidden="0" customHeight="1">
      <x:c r="A50" s="5" t="str">
        <x:v>O049</x:v>
      </x:c>
      <x:c r="B50" s="5" t="str">
        <x:v>CF011</x:v>
      </x:c>
      <x:c r="C50" s="5" t="str">
        <x:v>normal_boiling_point</x:v>
      </x:c>
      <x:c r="D50" s="5" t="str">
        <x:v>320.8 K</x:v>
      </x:c>
      <x:c r="E50" s="5" t="str">
        <x:v>K</x:v>
      </x:c>
      <x:c r="F50" s="10" t="n">
        <x:v>320.8</x:v>
      </x:c>
      <x:c r="G50" s="10" t="n">
        <x:v>320.8</x:v>
      </x:c>
      <x:c r="H50" s="10"/>
      <x:c r="I50" s="5" t="str">
        <x:v>EQ</x:v>
      </x:c>
      <x:c r="J50" s="10" t="n">
        <x:v>47.65</x:v>
      </x:c>
      <x:c r="K50" s="10" t="n">
        <x:v>47.65</x:v>
      </x:c>
      <x:c r="L50" s="5" t="str">
        <x:v>NIST Tboil compilation</x:v>
      </x:c>
      <x:c r="M50" s="5" t="str">
        <x:v>101.325 kPa; normal convention, not separately reported</x:v>
      </x:c>
      <x:c r="N50" s="5" t="str">
        <x:v>Reported compilation spread/TRC uncertainty retained as a conservative screening envelope, not a confidence interval or measurement precision. Individually listed reference value.</x:v>
      </x:c>
      <x:c r="O50" s="5" t="str">
        <x:v>CF011_nist</x:v>
      </x:c>
      <x:c r="P50" s="5" t="str">
        <x:v>https://webbook.nist.gov/cgi/cbook.cgi?ID=C503300&amp;Mask=4</x:v>
      </x:c>
      <x:c r="Q50" s="17" t="n">
        <x:v>46294</x:v>
      </x:c>
    </x:row>
    <x:row r="51" ht="24" hidden="0" customHeight="1">
      <x:c r="A51" s="5" t="str">
        <x:v>O050</x:v>
      </x:c>
      <x:c r="B51" s="5" t="str">
        <x:v>CF011</x:v>
      </x:c>
      <x:c r="C51" s="5" t="str">
        <x:v>normal_boiling_point</x:v>
      </x:c>
      <x:c r="D51" s="5" t="str">
        <x:v>321.65 K; TRC uncertainty 0.5 K</x:v>
      </x:c>
      <x:c r="E51" s="5" t="str">
        <x:v>K</x:v>
      </x:c>
      <x:c r="F51" s="10" t="n">
        <x:v>321.15</x:v>
      </x:c>
      <x:c r="G51" s="10" t="n">
        <x:v>322.15</x:v>
      </x:c>
      <x:c r="H51" s="10" t="n">
        <x:v>0.5</x:v>
      </x:c>
      <x:c r="I51" s="5" t="str">
        <x:v>EQ</x:v>
      </x:c>
      <x:c r="J51" s="10" t="n">
        <x:v>48</x:v>
      </x:c>
      <x:c r="K51" s="10" t="n">
        <x:v>49</x:v>
      </x:c>
      <x:c r="L51" s="5" t="str">
        <x:v>NIST Tboil compilation</x:v>
      </x:c>
      <x:c r="M51" s="5" t="str">
        <x:v>101.325 kPa; normal convention, not separately reported</x:v>
      </x:c>
      <x:c r="N51" s="5" t="str">
        <x:v>Reported compilation spread/TRC uncertainty retained as a conservative screening envelope, not a confidence interval or measurement precision. Individually listed reference value.</x:v>
      </x:c>
      <x:c r="O51" s="5" t="str">
        <x:v>CF011_nist</x:v>
      </x:c>
      <x:c r="P51" s="5" t="str">
        <x:v>https://webbook.nist.gov/cgi/cbook.cgi?ID=C503300&amp;Mask=4</x:v>
      </x:c>
      <x:c r="Q51" s="17" t="n">
        <x:v>46294</x:v>
      </x:c>
    </x:row>
    <x:row r="52" ht="24" hidden="0" customHeight="1">
      <x:c r="A52" s="5" t="str">
        <x:v>O051</x:v>
      </x:c>
      <x:c r="B52" s="5" t="str">
        <x:v>CF011</x:v>
      </x:c>
      <x:c r="C52" s="5" t="str">
        <x:v>normal_boiling_point</x:v>
      </x:c>
      <x:c r="D52" s="5" t="str">
        <x:v>320.9 K; TRC uncertainty 1. K</x:v>
      </x:c>
      <x:c r="E52" s="5" t="str">
        <x:v>K</x:v>
      </x:c>
      <x:c r="F52" s="10" t="n">
        <x:v>319.9</x:v>
      </x:c>
      <x:c r="G52" s="10" t="n">
        <x:v>321.9</x:v>
      </x:c>
      <x:c r="H52" s="10" t="n">
        <x:v>1</x:v>
      </x:c>
      <x:c r="I52" s="5" t="str">
        <x:v>EQ</x:v>
      </x:c>
      <x:c r="J52" s="10" t="n">
        <x:v>46.75</x:v>
      </x:c>
      <x:c r="K52" s="10" t="n">
        <x:v>48.75</x:v>
      </x:c>
      <x:c r="L52" s="5" t="str">
        <x:v>NIST Tboil compilation</x:v>
      </x:c>
      <x:c r="M52" s="5" t="str">
        <x:v>101.325 kPa; normal convention, not separately reported</x:v>
      </x:c>
      <x:c r="N52" s="5" t="str">
        <x:v>Reported compilation spread/TRC uncertainty retained as a conservative screening envelope, not a confidence interval or measurement precision. Individually listed reference value.</x:v>
      </x:c>
      <x:c r="O52" s="5" t="str">
        <x:v>CF011_nist</x:v>
      </x:c>
      <x:c r="P52" s="5" t="str">
        <x:v>https://webbook.nist.gov/cgi/cbook.cgi?ID=C503300&amp;Mask=4</x:v>
      </x:c>
      <x:c r="Q52" s="17" t="n">
        <x:v>46294</x:v>
      </x:c>
    </x:row>
    <x:row r="53" ht="15" hidden="0" customHeight="1">
      <x:c r="A53" s="5" t="str">
        <x:v>O052</x:v>
      </x:c>
      <x:c r="B53" s="5" t="str">
        <x:v>CF011</x:v>
      </x:c>
      <x:c r="C53" s="5" t="str">
        <x:v>flash_point</x:v>
      </x:c>
      <x:c r="D53" s="5" t="str">
        <x:v>-28 °C</x:v>
      </x:c>
      <x:c r="E53" s="5" t="str">
        <x:v>degC</x:v>
      </x:c>
      <x:c r="F53" s="10" t="n">
        <x:v>-28</x:v>
      </x:c>
      <x:c r="G53" s="10" t="n">
        <x:v>-28</x:v>
      </x:c>
      <x:c r="H53" s="10"/>
      <x:c r="I53" s="5" t="str">
        <x:v>EQ</x:v>
      </x:c>
      <x:c r="J53" s="10" t="n">
        <x:v>-28</x:v>
      </x:c>
      <x:c r="K53" s="10" t="n">
        <x:v>-28</x:v>
      </x:c>
      <x:c r="L53" s="5" t="str">
        <x:v>not specified in retrieved record</x:v>
      </x:c>
      <x:c r="M53" s="5"/>
      <x:c r="N53" s="5" t="str">
        <x:v>Supplier-reported product value; specimen and test report not obtained.</x:v>
      </x:c>
      <x:c r="O53" s="5" t="str">
        <x:v>CF011_supplier</x:v>
      </x:c>
      <x:c r="P53" s="5" t="str">
        <x:v>https://www.tcichemicals.com/US/en/p/T0473</x:v>
      </x:c>
      <x:c r="Q53" s="17" t="n">
        <x:v>46294</x:v>
      </x:c>
    </x:row>
    <x:row r="54" ht="15" hidden="0" customHeight="1">
      <x:c r="A54" s="5" t="str">
        <x:v>O053</x:v>
      </x:c>
      <x:c r="B54" s="5" t="str">
        <x:v>CF011</x:v>
      </x:c>
      <x:c r="C54" s="5" t="str">
        <x:v>supplier_boiling_point</x:v>
      </x:c>
      <x:c r="D54" s="5" t="str">
        <x:v>50 °C</x:v>
      </x:c>
      <x:c r="E54" s="5"/>
      <x:c r="F54" s="10"/>
      <x:c r="G54" s="10"/>
      <x:c r="H54" s="10"/>
      <x:c r="I54" s="5" t="str">
        <x:v>EQ</x:v>
      </x:c>
      <x:c r="J54" s="10"/>
      <x:c r="K54" s="10"/>
      <x:c r="L54" s="5" t="str">
        <x:v>supplier literature/reference value</x:v>
      </x:c>
      <x:c r="M54" s="5"/>
      <x:c r="N54" s="5" t="str">
        <x:v>Pressure is not inferred from an unqualified supplier boiling point.</x:v>
      </x:c>
      <x:c r="O54" s="5" t="str">
        <x:v>CF011_supplier</x:v>
      </x:c>
      <x:c r="P54" s="5" t="str">
        <x:v>https://www.tcichemicals.com/US/en/p/T0473</x:v>
      </x:c>
      <x:c r="Q54" s="17" t="n">
        <x:v>46294</x:v>
      </x:c>
    </x:row>
    <x:row r="55" ht="15" hidden="0" customHeight="1">
      <x:c r="A55" s="5" t="str">
        <x:v>O054</x:v>
      </x:c>
      <x:c r="B55" s="5" t="str">
        <x:v>CF011</x:v>
      </x:c>
      <x:c r="C55" s="5" t="str">
        <x:v>hazard_codes</x:v>
      </x:c>
      <x:c r="D55" s="5" t="str">
        <x:v>H225, H302, H312, H332</x:v>
      </x:c>
      <x:c r="E55" s="5"/>
      <x:c r="F55" s="10"/>
      <x:c r="G55" s="10"/>
      <x:c r="H55" s="10"/>
      <x:c r="I55" s="5" t="str">
        <x:v>EQ</x:v>
      </x:c>
      <x:c r="J55" s="10"/>
      <x:c r="K55" s="10"/>
      <x:c r="L55" s="5"/>
      <x:c r="M55" s="5"/>
      <x:c r="N55" s="5"/>
      <x:c r="O55" s="5" t="str">
        <x:v>CF011_supplier</x:v>
      </x:c>
      <x:c r="P55" s="5" t="str">
        <x:v>https://www.tcichemicals.com/US/en/p/T0473</x:v>
      </x:c>
      <x:c r="Q55" s="17" t="n">
        <x:v>46294</x:v>
      </x:c>
    </x:row>
    <x:row r="56" ht="24" hidden="0" customHeight="1">
      <x:c r="A56" s="5" t="str">
        <x:v>O055</x:v>
      </x:c>
      <x:c r="B56" s="5" t="str">
        <x:v>CF012</x:v>
      </x:c>
      <x:c r="C56" s="5" t="str">
        <x:v>normal_boiling_point</x:v>
      </x:c>
      <x:c r="D56" s="5" t="str">
        <x:v>326. to 327. K</x:v>
      </x:c>
      <x:c r="E56" s="5" t="str">
        <x:v>K</x:v>
      </x:c>
      <x:c r="F56" s="10" t="n">
        <x:v>326</x:v>
      </x:c>
      <x:c r="G56" s="10" t="n">
        <x:v>327</x:v>
      </x:c>
      <x:c r="H56" s="10"/>
      <x:c r="I56" s="5" t="str">
        <x:v>EQ</x:v>
      </x:c>
      <x:c r="J56" s="10" t="n">
        <x:v>52.85</x:v>
      </x:c>
      <x:c r="K56" s="10" t="n">
        <x:v>53.85</x:v>
      </x:c>
      <x:c r="L56" s="5" t="str">
        <x:v>NIST Tboil compilation</x:v>
      </x:c>
      <x:c r="M56" s="5" t="str">
        <x:v>101.325 kPa; normal convention, not separately reported</x:v>
      </x:c>
      <x:c r="N56" s="5" t="str">
        <x:v>Reported compilation spread/TRC uncertainty retained as a conservative screening envelope, not a confidence interval or measurement precision. Individually listed reference value.</x:v>
      </x:c>
      <x:c r="O56" s="5" t="str">
        <x:v>CF012_nist</x:v>
      </x:c>
      <x:c r="P56" s="5" t="str">
        <x:v>https://webbook.nist.gov/cgi/cbook.cgi?ID=C625547&amp;Mask=4</x:v>
      </x:c>
      <x:c r="Q56" s="17" t="n">
        <x:v>46294</x:v>
      </x:c>
    </x:row>
    <x:row r="57" ht="24" hidden="0" customHeight="1">
      <x:c r="A57" s="5" t="str">
        <x:v>O056</x:v>
      </x:c>
      <x:c r="B57" s="5" t="str">
        <x:v>CF012</x:v>
      </x:c>
      <x:c r="C57" s="5" t="str">
        <x:v>normal_boiling_point</x:v>
      </x:c>
      <x:c r="D57" s="5" t="str">
        <x:v>327.2 K</x:v>
      </x:c>
      <x:c r="E57" s="5" t="str">
        <x:v>K</x:v>
      </x:c>
      <x:c r="F57" s="10" t="n">
        <x:v>327.2</x:v>
      </x:c>
      <x:c r="G57" s="10" t="n">
        <x:v>327.2</x:v>
      </x:c>
      <x:c r="H57" s="10"/>
      <x:c r="I57" s="5" t="str">
        <x:v>EQ</x:v>
      </x:c>
      <x:c r="J57" s="10" t="n">
        <x:v>54.05</x:v>
      </x:c>
      <x:c r="K57" s="10" t="n">
        <x:v>54.05</x:v>
      </x:c>
      <x:c r="L57" s="5" t="str">
        <x:v>NIST Tboil compilation</x:v>
      </x:c>
      <x:c r="M57" s="5" t="str">
        <x:v>101.325 kPa; normal convention, not separately reported</x:v>
      </x:c>
      <x:c r="N57" s="5" t="str">
        <x:v>Reported compilation spread/TRC uncertainty retained as a conservative screening envelope, not a confidence interval or measurement precision. Individually listed reference value.</x:v>
      </x:c>
      <x:c r="O57" s="5" t="str">
        <x:v>CF012_nist</x:v>
      </x:c>
      <x:c r="P57" s="5" t="str">
        <x:v>https://webbook.nist.gov/cgi/cbook.cgi?ID=C625547&amp;Mask=4</x:v>
      </x:c>
      <x:c r="Q57" s="17" t="n">
        <x:v>46294</x:v>
      </x:c>
    </x:row>
    <x:row r="58" ht="24" hidden="0" customHeight="1">
      <x:c r="A58" s="5" t="str">
        <x:v>O057</x:v>
      </x:c>
      <x:c r="B58" s="5" t="str">
        <x:v>CF012</x:v>
      </x:c>
      <x:c r="C58" s="5" t="str">
        <x:v>normal_boiling_point</x:v>
      </x:c>
      <x:c r="D58" s="5" t="str">
        <x:v>366.9 K; TRC uncertainty 2. K</x:v>
      </x:c>
      <x:c r="E58" s="5" t="str">
        <x:v>K</x:v>
      </x:c>
      <x:c r="F58" s="10" t="n">
        <x:v>364.9</x:v>
      </x:c>
      <x:c r="G58" s="10" t="n">
        <x:v>368.9</x:v>
      </x:c>
      <x:c r="H58" s="10" t="n">
        <x:v>2</x:v>
      </x:c>
      <x:c r="I58" s="5" t="str">
        <x:v>EQ</x:v>
      </x:c>
      <x:c r="J58" s="10" t="n">
        <x:v>91.75</x:v>
      </x:c>
      <x:c r="K58" s="10" t="n">
        <x:v>95.75</x:v>
      </x:c>
      <x:c r="L58" s="5" t="str">
        <x:v>NIST Tboil compilation</x:v>
      </x:c>
      <x:c r="M58" s="5" t="str">
        <x:v>101.325 kPa; normal convention, not separately reported</x:v>
      </x:c>
      <x:c r="N58" s="5" t="str">
        <x:v>Reported compilation spread/TRC uncertainty retained as a conservative screening envelope, not a confidence interval or measurement precision. Individually listed reference value.</x:v>
      </x:c>
      <x:c r="O58" s="5" t="str">
        <x:v>CF012_nist</x:v>
      </x:c>
      <x:c r="P58" s="5" t="str">
        <x:v>https://webbook.nist.gov/cgi/cbook.cgi?ID=C625547&amp;Mask=4</x:v>
      </x:c>
      <x:c r="Q58" s="17" t="n">
        <x:v>46294</x:v>
      </x:c>
    </x:row>
    <x:row r="59" ht="15" hidden="0" customHeight="1">
      <x:c r="A59" s="5" t="str">
        <x:v>O058</x:v>
      </x:c>
      <x:c r="B59" s="5" t="str">
        <x:v>CF012</x:v>
      </x:c>
      <x:c r="C59" s="5" t="str">
        <x:v>flash_point</x:v>
      </x:c>
      <x:c r="D59" s="5" t="str">
        <x:v>-24 °C</x:v>
      </x:c>
      <x:c r="E59" s="5" t="str">
        <x:v>degC</x:v>
      </x:c>
      <x:c r="F59" s="10" t="n">
        <x:v>-24</x:v>
      </x:c>
      <x:c r="G59" s="10" t="n">
        <x:v>-24</x:v>
      </x:c>
      <x:c r="H59" s="10"/>
      <x:c r="I59" s="5" t="str">
        <x:v>EQ</x:v>
      </x:c>
      <x:c r="J59" s="10" t="n">
        <x:v>-24</x:v>
      </x:c>
      <x:c r="K59" s="10" t="n">
        <x:v>-24</x:v>
      </x:c>
      <x:c r="L59" s="5" t="str">
        <x:v>not specified in retrieved record</x:v>
      </x:c>
      <x:c r="M59" s="5"/>
      <x:c r="N59" s="5" t="str">
        <x:v>Supplier-reported product value; specimen and test report not obtained.</x:v>
      </x:c>
      <x:c r="O59" s="5" t="str">
        <x:v>CF012_supplier</x:v>
      </x:c>
      <x:c r="P59" s="5" t="str">
        <x:v>https://www.tcichemicals.com/US/en/p/E0416</x:v>
      </x:c>
      <x:c r="Q59" s="17" t="n">
        <x:v>46294</x:v>
      </x:c>
    </x:row>
    <x:row r="60" ht="15" hidden="0" customHeight="1">
      <x:c r="A60" s="5" t="str">
        <x:v>O059</x:v>
      </x:c>
      <x:c r="B60" s="5" t="str">
        <x:v>CF012</x:v>
      </x:c>
      <x:c r="C60" s="5" t="str">
        <x:v>supplier_boiling_point</x:v>
      </x:c>
      <x:c r="D60" s="5" t="str">
        <x:v>51 °C</x:v>
      </x:c>
      <x:c r="E60" s="5"/>
      <x:c r="F60" s="10"/>
      <x:c r="G60" s="10"/>
      <x:c r="H60" s="10"/>
      <x:c r="I60" s="5" t="str">
        <x:v>EQ</x:v>
      </x:c>
      <x:c r="J60" s="10"/>
      <x:c r="K60" s="10"/>
      <x:c r="L60" s="5" t="str">
        <x:v>supplier literature/reference value</x:v>
      </x:c>
      <x:c r="M60" s="5"/>
      <x:c r="N60" s="5" t="str">
        <x:v>Pressure is not inferred from an unqualified supplier boiling point.</x:v>
      </x:c>
      <x:c r="O60" s="5" t="str">
        <x:v>CF012_supplier</x:v>
      </x:c>
      <x:c r="P60" s="5" t="str">
        <x:v>https://www.tcichemicals.com/US/en/p/E0416</x:v>
      </x:c>
      <x:c r="Q60" s="17" t="n">
        <x:v>46294</x:v>
      </x:c>
    </x:row>
    <x:row r="61" ht="15" hidden="0" customHeight="1">
      <x:c r="A61" s="5" t="str">
        <x:v>O060</x:v>
      </x:c>
      <x:c r="B61" s="5" t="str">
        <x:v>CF012</x:v>
      </x:c>
      <x:c r="C61" s="5" t="str">
        <x:v>hazard_codes</x:v>
      </x:c>
      <x:c r="D61" s="5" t="str">
        <x:v>H225</x:v>
      </x:c>
      <x:c r="E61" s="5"/>
      <x:c r="F61" s="10"/>
      <x:c r="G61" s="10"/>
      <x:c r="H61" s="10"/>
      <x:c r="I61" s="5" t="str">
        <x:v>EQ</x:v>
      </x:c>
      <x:c r="J61" s="10"/>
      <x:c r="K61" s="10"/>
      <x:c r="L61" s="5"/>
      <x:c r="M61" s="5"/>
      <x:c r="N61" s="5"/>
      <x:c r="O61" s="5" t="str">
        <x:v>CF012_supplier</x:v>
      </x:c>
      <x:c r="P61" s="5" t="str">
        <x:v>https://www.tcichemicals.com/US/en/p/E0416</x:v>
      </x:c>
      <x:c r="Q61" s="17" t="n">
        <x:v>46294</x:v>
      </x:c>
    </x:row>
    <x:row r="62" ht="24" hidden="0" customHeight="1">
      <x:c r="A62" s="5" t="str">
        <x:v>O061</x:v>
      </x:c>
      <x:c r="B62" s="5" t="str">
        <x:v>CF013</x:v>
      </x:c>
      <x:c r="C62" s="5" t="str">
        <x:v>normal_boiling_point</x:v>
      </x:c>
      <x:c r="D62" s="5" t="str">
        <x:v>328. ± 20. K</x:v>
      </x:c>
      <x:c r="E62" s="5" t="str">
        <x:v>K</x:v>
      </x:c>
      <x:c r="F62" s="10" t="n">
        <x:v>308</x:v>
      </x:c>
      <x:c r="G62" s="10" t="n">
        <x:v>348</x:v>
      </x:c>
      <x:c r="H62" s="10" t="n">
        <x:v>20</x:v>
      </x:c>
      <x:c r="I62" s="5" t="str">
        <x:v>EQ</x:v>
      </x:c>
      <x:c r="J62" s="10" t="n">
        <x:v>34.85</x:v>
      </x:c>
      <x:c r="K62" s="10" t="n">
        <x:v>74.85</x:v>
      </x:c>
      <x:c r="L62" s="5" t="str">
        <x:v>NIST Tboil compilation</x:v>
      </x:c>
      <x:c r="M62" s="5" t="str">
        <x:v>101.325 kPa; normal convention, not separately reported</x:v>
      </x:c>
      <x:c r="N62" s="5" t="str">
        <x:v>Reported compilation spread/TRC uncertainty retained as a conservative screening envelope, not a confidence interval or measurement precision. NIST AVG compilation.</x:v>
      </x:c>
      <x:c r="O62" s="5" t="str">
        <x:v>CF013_nist</x:v>
      </x:c>
      <x:c r="P62" s="5" t="str">
        <x:v>https://webbook.nist.gov/cgi/cbook.cgi?ID=C558305&amp;Mask=4</x:v>
      </x:c>
      <x:c r="Q62" s="17" t="n">
        <x:v>46294</x:v>
      </x:c>
    </x:row>
    <x:row r="63" ht="15" hidden="0" customHeight="1">
      <x:c r="A63" s="5" t="str">
        <x:v>O062</x:v>
      </x:c>
      <x:c r="B63" s="5" t="str">
        <x:v>CF013</x:v>
      </x:c>
      <x:c r="C63" s="5" t="str">
        <x:v>flash_point</x:v>
      </x:c>
      <x:c r="D63" s="5" t="str">
        <x:v>-32.5 °C</x:v>
      </x:c>
      <x:c r="E63" s="5" t="str">
        <x:v>degC</x:v>
      </x:c>
      <x:c r="F63" s="10" t="n">
        <x:v>-32.5</x:v>
      </x:c>
      <x:c r="G63" s="10" t="n">
        <x:v>-32.5</x:v>
      </x:c>
      <x:c r="H63" s="10"/>
      <x:c r="I63" s="5" t="str">
        <x:v>EQ</x:v>
      </x:c>
      <x:c r="J63" s="10" t="n">
        <x:v>-32.5</x:v>
      </x:c>
      <x:c r="K63" s="10" t="n">
        <x:v>-32.5</x:v>
      </x:c>
      <x:c r="L63" s="5" t="str">
        <x:v>not specified in retrieved record</x:v>
      </x:c>
      <x:c r="M63" s="5"/>
      <x:c r="N63" s="5" t="str">
        <x:v>Supplier-reported product value; specimen and test report not obtained.</x:v>
      </x:c>
      <x:c r="O63" s="5" t="str">
        <x:v>CF013_supplier</x:v>
      </x:c>
      <x:c r="P63" s="5" t="str">
        <x:v>https://www.sigmaaldrich.com/US/en/product/aldrich/531537</x:v>
      </x:c>
      <x:c r="Q63" s="17" t="n">
        <x:v>46294</x:v>
      </x:c>
    </x:row>
    <x:row r="64" ht="15" hidden="0" customHeight="1">
      <x:c r="A64" s="5" t="str">
        <x:v>O063</x:v>
      </x:c>
      <x:c r="B64" s="5" t="str">
        <x:v>CF013</x:v>
      </x:c>
      <x:c r="C64" s="5" t="str">
        <x:v>supplier_boiling_point</x:v>
      </x:c>
      <x:c r="D64" s="5" t="str">
        <x:v>50-51 °C (lit.)</x:v>
      </x:c>
      <x:c r="E64" s="5"/>
      <x:c r="F64" s="10"/>
      <x:c r="G64" s="10"/>
      <x:c r="H64" s="10"/>
      <x:c r="I64" s="5" t="str">
        <x:v>EQ</x:v>
      </x:c>
      <x:c r="J64" s="10"/>
      <x:c r="K64" s="10"/>
      <x:c r="L64" s="5" t="str">
        <x:v>supplier literature/reference value</x:v>
      </x:c>
      <x:c r="M64" s="5"/>
      <x:c r="N64" s="5" t="str">
        <x:v>Pressure is not inferred from an unqualified supplier boiling point.</x:v>
      </x:c>
      <x:c r="O64" s="5" t="str">
        <x:v>CF013_supplier</x:v>
      </x:c>
      <x:c r="P64" s="5" t="str">
        <x:v>https://www.sigmaaldrich.com/US/en/product/aldrich/531537</x:v>
      </x:c>
      <x:c r="Q64" s="17" t="n">
        <x:v>46294</x:v>
      </x:c>
    </x:row>
    <x:row r="65" ht="24" hidden="0" customHeight="1">
      <x:c r="A65" s="5" t="str">
        <x:v>O064</x:v>
      </x:c>
      <x:c r="B65" s="5" t="str">
        <x:v>CF013</x:v>
      </x:c>
      <x:c r="C65" s="5" t="str">
        <x:v>hazard_classification</x:v>
      </x:c>
      <x:c r="D65" s="5" t="str">
        <x:v>Carc. 2 - Flam. Liq. 2 - Muta. 2 - Skin Corr. 1C</x:v>
      </x:c>
      <x:c r="E65" s="5"/>
      <x:c r="F65" s="10"/>
      <x:c r="G65" s="10"/>
      <x:c r="H65" s="10"/>
      <x:c r="I65" s="5" t="str">
        <x:v>EQ</x:v>
      </x:c>
      <x:c r="J65" s="10"/>
      <x:c r="K65" s="10"/>
      <x:c r="L65" s="5"/>
      <x:c r="M65" s="5"/>
      <x:c r="N65" s="5"/>
      <x:c r="O65" s="5" t="str">
        <x:v>CF013_supplier</x:v>
      </x:c>
      <x:c r="P65" s="5" t="str">
        <x:v>https://www.sigmaaldrich.com/US/en/product/aldrich/531537</x:v>
      </x:c>
      <x:c r="Q65" s="17" t="n">
        <x:v>46294</x:v>
      </x:c>
    </x:row>
    <x:row r="66" ht="15" hidden="0" customHeight="1">
      <x:c r="A66" s="5" t="str">
        <x:v>O065</x:v>
      </x:c>
      <x:c r="B66" s="5" t="str">
        <x:v>CF013</x:v>
      </x:c>
      <x:c r="C66" s="5" t="str">
        <x:v>hazard_codes</x:v>
      </x:c>
      <x:c r="D66" s="5" t="str">
        <x:v>H225, H314, H341, H351</x:v>
      </x:c>
      <x:c r="E66" s="5"/>
      <x:c r="F66" s="10"/>
      <x:c r="G66" s="10"/>
      <x:c r="H66" s="10"/>
      <x:c r="I66" s="5" t="str">
        <x:v>EQ</x:v>
      </x:c>
      <x:c r="J66" s="10"/>
      <x:c r="K66" s="10"/>
      <x:c r="L66" s="5"/>
      <x:c r="M66" s="5"/>
      <x:c r="N66" s="5"/>
      <x:c r="O66" s="5" t="str">
        <x:v>CF013_supplier</x:v>
      </x:c>
      <x:c r="P66" s="5" t="str">
        <x:v>https://www.sigmaaldrich.com/US/en/product/aldrich/531537</x:v>
      </x:c>
      <x:c r="Q66" s="17" t="n">
        <x:v>46294</x:v>
      </x:c>
    </x:row>
    <x:row r="67" ht="24" hidden="0" customHeight="1">
      <x:c r="A67" s="5" t="str">
        <x:v>O066</x:v>
      </x:c>
      <x:c r="B67" s="5" t="str">
        <x:v>CF014</x:v>
      </x:c>
      <x:c r="C67" s="5" t="str">
        <x:v>normal_boiling_point</x:v>
      </x:c>
      <x:c r="D67" s="5" t="str">
        <x:v>327.7 K</x:v>
      </x:c>
      <x:c r="E67" s="5" t="str">
        <x:v>K</x:v>
      </x:c>
      <x:c r="F67" s="10" t="n">
        <x:v>327.7</x:v>
      </x:c>
      <x:c r="G67" s="10" t="n">
        <x:v>327.7</x:v>
      </x:c>
      <x:c r="H67" s="10"/>
      <x:c r="I67" s="5" t="str">
        <x:v>EQ</x:v>
      </x:c>
      <x:c r="J67" s="10" t="n">
        <x:v>54.55</x:v>
      </x:c>
      <x:c r="K67" s="10" t="n">
        <x:v>54.55</x:v>
      </x:c>
      <x:c r="L67" s="5" t="str">
        <x:v>NIST Tboil compilation</x:v>
      </x:c>
      <x:c r="M67" s="5" t="str">
        <x:v>101.325 kPa; normal convention, not separately reported</x:v>
      </x:c>
      <x:c r="N67" s="5" t="str">
        <x:v>Reported compilation spread/TRC uncertainty retained as a conservative screening envelope, not a confidence interval or measurement precision. Individually listed reference value.</x:v>
      </x:c>
      <x:c r="O67" s="5" t="str">
        <x:v>CF014_nist</x:v>
      </x:c>
      <x:c r="P67" s="5" t="str">
        <x:v>https://webbook.nist.gov/cgi/cbook.cgi?ID=C21490631&amp;Mask=4</x:v>
      </x:c>
      <x:c r="Q67" s="17" t="n">
        <x:v>46294</x:v>
      </x:c>
    </x:row>
    <x:row r="68" ht="24" hidden="0" customHeight="1">
      <x:c r="A68" s="5" t="str">
        <x:v>O067</x:v>
      </x:c>
      <x:c r="B68" s="5" t="str">
        <x:v>CF014</x:v>
      </x:c>
      <x:c r="C68" s="5" t="str">
        <x:v>normal_boiling_point</x:v>
      </x:c>
      <x:c r="D68" s="5" t="str">
        <x:v>327. to 328. K</x:v>
      </x:c>
      <x:c r="E68" s="5" t="str">
        <x:v>K</x:v>
      </x:c>
      <x:c r="F68" s="10" t="n">
        <x:v>327</x:v>
      </x:c>
      <x:c r="G68" s="10" t="n">
        <x:v>328</x:v>
      </x:c>
      <x:c r="H68" s="10"/>
      <x:c r="I68" s="5" t="str">
        <x:v>EQ</x:v>
      </x:c>
      <x:c r="J68" s="10" t="n">
        <x:v>53.85</x:v>
      </x:c>
      <x:c r="K68" s="10" t="n">
        <x:v>54.85</x:v>
      </x:c>
      <x:c r="L68" s="5" t="str">
        <x:v>NIST Tboil compilation</x:v>
      </x:c>
      <x:c r="M68" s="5" t="str">
        <x:v>101.325 kPa; normal convention, not separately reported</x:v>
      </x:c>
      <x:c r="N68" s="5" t="str">
        <x:v>Reported compilation spread/TRC uncertainty retained as a conservative screening envelope, not a confidence interval or measurement precision. Individually listed reference value.</x:v>
      </x:c>
      <x:c r="O68" s="5" t="str">
        <x:v>CF014_nist</x:v>
      </x:c>
      <x:c r="P68" s="5" t="str">
        <x:v>https://webbook.nist.gov/cgi/cbook.cgi?ID=C21490631&amp;Mask=4</x:v>
      </x:c>
      <x:c r="Q68" s="17" t="n">
        <x:v>46294</x:v>
      </x:c>
    </x:row>
    <x:row r="69" ht="24" hidden="0" customHeight="1">
      <x:c r="A69" s="5" t="str">
        <x:v>O068</x:v>
      </x:c>
      <x:c r="B69" s="5" t="str">
        <x:v>CF014</x:v>
      </x:c>
      <x:c r="C69" s="5" t="str">
        <x:v>normal_boiling_point</x:v>
      </x:c>
      <x:c r="D69" s="5" t="str">
        <x:v>330.15 K; TRC uncertainty 3. K</x:v>
      </x:c>
      <x:c r="E69" s="5" t="str">
        <x:v>K</x:v>
      </x:c>
      <x:c r="F69" s="10" t="n">
        <x:v>327.15</x:v>
      </x:c>
      <x:c r="G69" s="10" t="n">
        <x:v>333.15</x:v>
      </x:c>
      <x:c r="H69" s="10" t="n">
        <x:v>3</x:v>
      </x:c>
      <x:c r="I69" s="5" t="str">
        <x:v>EQ</x:v>
      </x:c>
      <x:c r="J69" s="10" t="n">
        <x:v>54</x:v>
      </x:c>
      <x:c r="K69" s="10" t="n">
        <x:v>60</x:v>
      </x:c>
      <x:c r="L69" s="5" t="str">
        <x:v>NIST Tboil compilation</x:v>
      </x:c>
      <x:c r="M69" s="5" t="str">
        <x:v>101.325 kPa; normal convention, not separately reported</x:v>
      </x:c>
      <x:c r="N69" s="5" t="str">
        <x:v>Reported compilation spread/TRC uncertainty retained as a conservative screening envelope, not a confidence interval or measurement precision. Individually listed reference value.</x:v>
      </x:c>
      <x:c r="O69" s="5" t="str">
        <x:v>CF014_nist</x:v>
      </x:c>
      <x:c r="P69" s="5" t="str">
        <x:v>https://webbook.nist.gov/cgi/cbook.cgi?ID=C21490631&amp;Mask=4</x:v>
      </x:c>
      <x:c r="Q69" s="17" t="n">
        <x:v>46294</x:v>
      </x:c>
    </x:row>
    <x:row r="70" ht="15" hidden="0" customHeight="1">
      <x:c r="A70" s="5" t="str">
        <x:v>O069</x:v>
      </x:c>
      <x:c r="B70" s="5" t="str">
        <x:v>CF014</x:v>
      </x:c>
      <x:c r="C70" s="5" t="str">
        <x:v>flash_point</x:v>
      </x:c>
      <x:c r="D70" s="5" t="str">
        <x:v>-27 °C - closed cup</x:v>
      </x:c>
      <x:c r="E70" s="5" t="str">
        <x:v>degC</x:v>
      </x:c>
      <x:c r="F70" s="10" t="n">
        <x:v>-27</x:v>
      </x:c>
      <x:c r="G70" s="10" t="n">
        <x:v>-27</x:v>
      </x:c>
      <x:c r="H70" s="10"/>
      <x:c r="I70" s="5" t="str">
        <x:v>EQ</x:v>
      </x:c>
      <x:c r="J70" s="10" t="n">
        <x:v>-27</x:v>
      </x:c>
      <x:c r="K70" s="10" t="n">
        <x:v>-27</x:v>
      </x:c>
      <x:c r="L70" s="5" t="str">
        <x:v>closed cup; test standard not specified</x:v>
      </x:c>
      <x:c r="M70" s="5"/>
      <x:c r="N70" s="5" t="str">
        <x:v>Supplier-reported product value; specimen and test report not obtained.</x:v>
      </x:c>
      <x:c r="O70" s="5" t="str">
        <x:v>CF014_supplier</x:v>
      </x:c>
      <x:c r="P70" s="5" t="str">
        <x:v>https://www.sigmaaldrich.com/US/en/product/aldrich/w527408</x:v>
      </x:c>
      <x:c r="Q70" s="17" t="n">
        <x:v>46294</x:v>
      </x:c>
    </x:row>
    <x:row r="71" ht="15" hidden="0" customHeight="1">
      <x:c r="A71" s="5" t="str">
        <x:v>O070</x:v>
      </x:c>
      <x:c r="B71" s="5" t="str">
        <x:v>CF014</x:v>
      </x:c>
      <x:c r="C71" s="5" t="str">
        <x:v>supplier_boiling_point</x:v>
      </x:c>
      <x:c r="D71" s="5" t="str">
        <x:v>54-55 °C (lit.)</x:v>
      </x:c>
      <x:c r="E71" s="5"/>
      <x:c r="F71" s="10"/>
      <x:c r="G71" s="10"/>
      <x:c r="H71" s="10"/>
      <x:c r="I71" s="5" t="str">
        <x:v>EQ</x:v>
      </x:c>
      <x:c r="J71" s="10"/>
      <x:c r="K71" s="10"/>
      <x:c r="L71" s="5" t="str">
        <x:v>supplier literature/reference value</x:v>
      </x:c>
      <x:c r="M71" s="5"/>
      <x:c r="N71" s="5" t="str">
        <x:v>Pressure is not inferred from an unqualified supplier boiling point.</x:v>
      </x:c>
      <x:c r="O71" s="5" t="str">
        <x:v>CF014_supplier</x:v>
      </x:c>
      <x:c r="P71" s="5" t="str">
        <x:v>https://www.sigmaaldrich.com/US/en/product/aldrich/w527408</x:v>
      </x:c>
      <x:c r="Q71" s="17" t="n">
        <x:v>46294</x:v>
      </x:c>
    </x:row>
    <x:row r="72" ht="24" hidden="0" customHeight="1">
      <x:c r="A72" s="5" t="str">
        <x:v>O071</x:v>
      </x:c>
      <x:c r="B72" s="5" t="str">
        <x:v>CF014</x:v>
      </x:c>
      <x:c r="C72" s="5" t="str">
        <x:v>hazard_classification</x:v>
      </x:c>
      <x:c r="D72" s="5" t="str">
        <x:v>Eye Irrit. 2 - Flam. Liq. 2 - Skin Irrit. 2 - STOT SE 3</x:v>
      </x:c>
      <x:c r="E72" s="5"/>
      <x:c r="F72" s="10"/>
      <x:c r="G72" s="10"/>
      <x:c r="H72" s="10"/>
      <x:c r="I72" s="5" t="str">
        <x:v>EQ</x:v>
      </x:c>
      <x:c r="J72" s="10"/>
      <x:c r="K72" s="10"/>
      <x:c r="L72" s="5"/>
      <x:c r="M72" s="5"/>
      <x:c r="N72" s="5"/>
      <x:c r="O72" s="5" t="str">
        <x:v>CF014_supplier</x:v>
      </x:c>
      <x:c r="P72" s="5" t="str">
        <x:v>https://www.sigmaaldrich.com/US/en/product/aldrich/w527408</x:v>
      </x:c>
      <x:c r="Q72" s="17" t="n">
        <x:v>46294</x:v>
      </x:c>
    </x:row>
    <x:row r="73" ht="15" hidden="0" customHeight="1">
      <x:c r="A73" s="5" t="str">
        <x:v>O072</x:v>
      </x:c>
      <x:c r="B73" s="5" t="str">
        <x:v>CF014</x:v>
      </x:c>
      <x:c r="C73" s="5" t="str">
        <x:v>hazard_codes</x:v>
      </x:c>
      <x:c r="D73" s="5" t="str">
        <x:v>H225, H315, H319, H335</x:v>
      </x:c>
      <x:c r="E73" s="5"/>
      <x:c r="F73" s="10"/>
      <x:c r="G73" s="10"/>
      <x:c r="H73" s="10"/>
      <x:c r="I73" s="5" t="str">
        <x:v>EQ</x:v>
      </x:c>
      <x:c r="J73" s="10"/>
      <x:c r="K73" s="10"/>
      <x:c r="L73" s="5"/>
      <x:c r="M73" s="5"/>
      <x:c r="N73" s="5"/>
      <x:c r="O73" s="5" t="str">
        <x:v>CF014_supplier</x:v>
      </x:c>
      <x:c r="P73" s="5" t="str">
        <x:v>https://www.sigmaaldrich.com/US/en/product/aldrich/w527408</x:v>
      </x:c>
      <x:c r="Q73" s="17" t="n">
        <x:v>46294</x:v>
      </x:c>
    </x:row>
    <x:row r="74" ht="24" hidden="0" customHeight="1">
      <x:c r="A74" s="5" t="str">
        <x:v>O073</x:v>
      </x:c>
      <x:c r="B74" s="5" t="str">
        <x:v>CF015</x:v>
      </x:c>
      <x:c r="C74" s="5" t="str">
        <x:v>normal_boiling_point</x:v>
      </x:c>
      <x:c r="D74" s="5" t="str">
        <x:v>319.2 ± 0.6 K</x:v>
      </x:c>
      <x:c r="E74" s="5" t="str">
        <x:v>K</x:v>
      </x:c>
      <x:c r="F74" s="10" t="n">
        <x:v>318.59999999999997</x:v>
      </x:c>
      <x:c r="G74" s="10" t="n">
        <x:v>319.8</x:v>
      </x:c>
      <x:c r="H74" s="10" t="n">
        <x:v>0.6</x:v>
      </x:c>
      <x:c r="I74" s="5" t="str">
        <x:v>EQ</x:v>
      </x:c>
      <x:c r="J74" s="10" t="n">
        <x:v>45.45</x:v>
      </x:c>
      <x:c r="K74" s="10" t="n">
        <x:v>46.65</x:v>
      </x:c>
      <x:c r="L74" s="5" t="str">
        <x:v>NIST Tboil compilation</x:v>
      </x:c>
      <x:c r="M74" s="5" t="str">
        <x:v>101.325 kPa; normal convention, not separately reported</x:v>
      </x:c>
      <x:c r="N74" s="5" t="str">
        <x:v>Reported compilation spread/TRC uncertainty retained as a conservative screening envelope, not a confidence interval or measurement precision. NIST AVG compilation.</x:v>
      </x:c>
      <x:c r="O74" s="5" t="str">
        <x:v>CF015_nist</x:v>
      </x:c>
      <x:c r="P74" s="5" t="str">
        <x:v>https://webbook.nist.gov/cgi/cbook.cgi?ID=C75150&amp;Mask=4</x:v>
      </x:c>
      <x:c r="Q74" s="17" t="n">
        <x:v>46294</x:v>
      </x:c>
    </x:row>
    <x:row r="75" ht="15" hidden="0" customHeight="1">
      <x:c r="A75" s="5" t="str">
        <x:v>O074</x:v>
      </x:c>
      <x:c r="B75" s="5" t="str">
        <x:v>CF015</x:v>
      </x:c>
      <x:c r="C75" s="5" t="str">
        <x:v>flash_point</x:v>
      </x:c>
      <x:c r="D75" s="5" t="str">
        <x:v>-30 °C</x:v>
      </x:c>
      <x:c r="E75" s="5" t="str">
        <x:v>degC</x:v>
      </x:c>
      <x:c r="F75" s="10" t="n">
        <x:v>-30</x:v>
      </x:c>
      <x:c r="G75" s="10" t="n">
        <x:v>-30</x:v>
      </x:c>
      <x:c r="H75" s="10"/>
      <x:c r="I75" s="5" t="str">
        <x:v>EQ</x:v>
      </x:c>
      <x:c r="J75" s="10" t="n">
        <x:v>-30</x:v>
      </x:c>
      <x:c r="K75" s="10" t="n">
        <x:v>-30</x:v>
      </x:c>
      <x:c r="L75" s="5" t="str">
        <x:v>not specified in retrieved record</x:v>
      </x:c>
      <x:c r="M75" s="5"/>
      <x:c r="N75" s="5" t="str">
        <x:v>Supplier-reported product value; specimen and test report not obtained.</x:v>
      </x:c>
      <x:c r="O75" s="5" t="str">
        <x:v>CF015_supplier</x:v>
      </x:c>
      <x:c r="P75" s="5" t="str">
        <x:v>https://www.sigmaaldrich.com/US/en/product/mm/102210</x:v>
      </x:c>
      <x:c r="Q75" s="17" t="n">
        <x:v>46294</x:v>
      </x:c>
    </x:row>
    <x:row r="76" ht="15" hidden="0" customHeight="1">
      <x:c r="A76" s="5" t="str">
        <x:v>O075</x:v>
      </x:c>
      <x:c r="B76" s="5" t="str">
        <x:v>CF015</x:v>
      </x:c>
      <x:c r="C76" s="5" t="str">
        <x:v>supplier_boiling_point</x:v>
      </x:c>
      <x:c r="D76" s="5" t="str">
        <x:v>46 °C (lit.)</x:v>
      </x:c>
      <x:c r="E76" s="5"/>
      <x:c r="F76" s="10"/>
      <x:c r="G76" s="10"/>
      <x:c r="H76" s="10"/>
      <x:c r="I76" s="5" t="str">
        <x:v>EQ</x:v>
      </x:c>
      <x:c r="J76" s="10"/>
      <x:c r="K76" s="10"/>
      <x:c r="L76" s="5" t="str">
        <x:v>supplier literature/reference value</x:v>
      </x:c>
      <x:c r="M76" s="5"/>
      <x:c r="N76" s="5" t="str">
        <x:v>Pressure is not inferred from an unqualified supplier boiling point.</x:v>
      </x:c>
      <x:c r="O76" s="5" t="str">
        <x:v>CF015_supplier</x:v>
      </x:c>
      <x:c r="P76" s="5" t="str">
        <x:v>https://www.sigmaaldrich.com/US/en/product/mm/102210</x:v>
      </x:c>
      <x:c r="Q76" s="17" t="n">
        <x:v>46294</x:v>
      </x:c>
    </x:row>
    <x:row r="77" ht="24" hidden="0" customHeight="1">
      <x:c r="A77" s="5" t="str">
        <x:v>O076</x:v>
      </x:c>
      <x:c r="B77" s="5" t="str">
        <x:v>CF015</x:v>
      </x:c>
      <x:c r="C77" s="5" t="str">
        <x:v>hazard_classification</x:v>
      </x:c>
      <x:c r="D77" s="5" t="str">
        <x:v>Acute Tox. 4 Inhalation - Eye Irrit. 2 - Flam. Liq. 2 - Repr. 2 - Skin Irrit. 2 - STOT RE 1</x:v>
      </x:c>
      <x:c r="E77" s="5"/>
      <x:c r="F77" s="10"/>
      <x:c r="G77" s="10"/>
      <x:c r="H77" s="10"/>
      <x:c r="I77" s="5" t="str">
        <x:v>EQ</x:v>
      </x:c>
      <x:c r="J77" s="10"/>
      <x:c r="K77" s="10"/>
      <x:c r="L77" s="5"/>
      <x:c r="M77" s="5"/>
      <x:c r="N77" s="5"/>
      <x:c r="O77" s="5" t="str">
        <x:v>CF015_supplier</x:v>
      </x:c>
      <x:c r="P77" s="5" t="str">
        <x:v>https://www.sigmaaldrich.com/US/en/product/mm/102210</x:v>
      </x:c>
      <x:c r="Q77" s="17" t="n">
        <x:v>46294</x:v>
      </x:c>
    </x:row>
    <x:row r="78" ht="15" hidden="0" customHeight="1">
      <x:c r="A78" s="5" t="str">
        <x:v>O077</x:v>
      </x:c>
      <x:c r="B78" s="5" t="str">
        <x:v>CF015</x:v>
      </x:c>
      <x:c r="C78" s="5" t="str">
        <x:v>hazard_codes</x:v>
      </x:c>
      <x:c r="D78" s="5" t="str">
        <x:v>H225, H315, H319, H332, H361fd, H372</x:v>
      </x:c>
      <x:c r="E78" s="5"/>
      <x:c r="F78" s="10"/>
      <x:c r="G78" s="10"/>
      <x:c r="H78" s="10"/>
      <x:c r="I78" s="5" t="str">
        <x:v>EQ</x:v>
      </x:c>
      <x:c r="J78" s="10"/>
      <x:c r="K78" s="10"/>
      <x:c r="L78" s="5"/>
      <x:c r="M78" s="5"/>
      <x:c r="N78" s="5"/>
      <x:c r="O78" s="5" t="str">
        <x:v>CF015_supplier</x:v>
      </x:c>
      <x:c r="P78" s="5" t="str">
        <x:v>https://www.sigmaaldrich.com/US/en/product/mm/102210</x:v>
      </x:c>
      <x:c r="Q78" s="17" t="n">
        <x:v>46294</x:v>
      </x:c>
    </x:row>
    <x:row r="79" ht="24" hidden="0" customHeight="1">
      <x:c r="A79" s="5" t="str">
        <x:v>O078</x:v>
      </x:c>
      <x:c r="B79" s="5" t="str">
        <x:v>CF016</x:v>
      </x:c>
      <x:c r="C79" s="5" t="str">
        <x:v>normal_boiling_point</x:v>
      </x:c>
      <x:c r="D79" s="5" t="str">
        <x:v>328. ± 5. K</x:v>
      </x:c>
      <x:c r="E79" s="5" t="str">
        <x:v>K</x:v>
      </x:c>
      <x:c r="F79" s="10" t="n">
        <x:v>323</x:v>
      </x:c>
      <x:c r="G79" s="10" t="n">
        <x:v>333</x:v>
      </x:c>
      <x:c r="H79" s="10" t="n">
        <x:v>5</x:v>
      </x:c>
      <x:c r="I79" s="5" t="str">
        <x:v>EQ</x:v>
      </x:c>
      <x:c r="J79" s="10" t="n">
        <x:v>49.85</x:v>
      </x:c>
      <x:c r="K79" s="10" t="n">
        <x:v>59.85</x:v>
      </x:c>
      <x:c r="L79" s="5" t="str">
        <x:v>NIST Tboil compilation</x:v>
      </x:c>
      <x:c r="M79" s="5" t="str">
        <x:v>101.325 kPa; normal convention, not separately reported</x:v>
      </x:c>
      <x:c r="N79" s="5" t="str">
        <x:v>Reported compilation spread/TRC uncertainty retained as a conservative screening envelope, not a confidence interval or measurement precision. NIST AVG compilation.</x:v>
      </x:c>
      <x:c r="O79" s="5" t="str">
        <x:v>CF016_nist</x:v>
      </x:c>
      <x:c r="P79" s="5" t="str">
        <x:v>https://webbook.nist.gov/cgi/cbook.cgi?ID=C75332&amp;Mask=4</x:v>
      </x:c>
      <x:c r="Q79" s="17" t="n">
        <x:v>46294</x:v>
      </x:c>
    </x:row>
    <x:row r="80" ht="15" hidden="0" customHeight="1">
      <x:c r="A80" s="5" t="str">
        <x:v>O079</x:v>
      </x:c>
      <x:c r="B80" s="5" t="str">
        <x:v>CF016</x:v>
      </x:c>
      <x:c r="C80" s="5" t="str">
        <x:v>flash_point</x:v>
      </x:c>
      <x:c r="D80" s="5" t="str">
        <x:v>-31 °C</x:v>
      </x:c>
      <x:c r="E80" s="5" t="str">
        <x:v>degC</x:v>
      </x:c>
      <x:c r="F80" s="10" t="n">
        <x:v>-31</x:v>
      </x:c>
      <x:c r="G80" s="10" t="n">
        <x:v>-31</x:v>
      </x:c>
      <x:c r="H80" s="10"/>
      <x:c r="I80" s="5" t="str">
        <x:v>EQ</x:v>
      </x:c>
      <x:c r="J80" s="10" t="n">
        <x:v>-31</x:v>
      </x:c>
      <x:c r="K80" s="10" t="n">
        <x:v>-31</x:v>
      </x:c>
      <x:c r="L80" s="5" t="str">
        <x:v>not specified in retrieved record</x:v>
      </x:c>
      <x:c r="M80" s="5"/>
      <x:c r="N80" s="5" t="str">
        <x:v>Supplier-reported product value; specimen and test report not obtained.</x:v>
      </x:c>
      <x:c r="O80" s="5" t="str">
        <x:v>CF016_supplier</x:v>
      </x:c>
      <x:c r="P80" s="5" t="str">
        <x:v>https://www.sigmaaldrich.com/US/en/product/mm/807532</x:v>
      </x:c>
      <x:c r="Q80" s="17" t="n">
        <x:v>46294</x:v>
      </x:c>
    </x:row>
    <x:row r="81" ht="15" hidden="0" customHeight="1">
      <x:c r="A81" s="5" t="str">
        <x:v>O080</x:v>
      </x:c>
      <x:c r="B81" s="5" t="str">
        <x:v>CF016</x:v>
      </x:c>
      <x:c r="C81" s="5" t="str">
        <x:v>supplier_boiling_point</x:v>
      </x:c>
      <x:c r="D81" s="5" t="str">
        <x:v>52.6 °C/1013 hPa</x:v>
      </x:c>
      <x:c r="E81" s="5"/>
      <x:c r="F81" s="10"/>
      <x:c r="G81" s="10"/>
      <x:c r="H81" s="10"/>
      <x:c r="I81" s="5" t="str">
        <x:v>EQ</x:v>
      </x:c>
      <x:c r="J81" s="10"/>
      <x:c r="K81" s="10"/>
      <x:c r="L81" s="5" t="str">
        <x:v>supplier literature/reference value</x:v>
      </x:c>
      <x:c r="M81" s="5"/>
      <x:c r="N81" s="5" t="str">
        <x:v>Pressure is not inferred from an unqualified supplier boiling point.</x:v>
      </x:c>
      <x:c r="O81" s="5" t="str">
        <x:v>CF016_supplier</x:v>
      </x:c>
      <x:c r="P81" s="5" t="str">
        <x:v>https://www.sigmaaldrich.com/US/en/product/mm/807532</x:v>
      </x:c>
      <x:c r="Q81" s="17" t="n">
        <x:v>46294</x:v>
      </x:c>
    </x:row>
    <x:row r="82" ht="24" hidden="0" customHeight="1">
      <x:c r="A82" s="5" t="str">
        <x:v>O081</x:v>
      </x:c>
      <x:c r="B82" s="5" t="str">
        <x:v>CF016</x:v>
      </x:c>
      <x:c r="C82" s="5" t="str">
        <x:v>hazard_classification</x:v>
      </x:c>
      <x:c r="D82" s="5" t="str">
        <x:v>Aquatic Acute 1 - Aquatic Chronic 1 - Flam. Liq. 2 - Skin Sens. 1</x:v>
      </x:c>
      <x:c r="E82" s="5"/>
      <x:c r="F82" s="10"/>
      <x:c r="G82" s="10"/>
      <x:c r="H82" s="10"/>
      <x:c r="I82" s="5" t="str">
        <x:v>EQ</x:v>
      </x:c>
      <x:c r="J82" s="10"/>
      <x:c r="K82" s="10"/>
      <x:c r="L82" s="5"/>
      <x:c r="M82" s="5"/>
      <x:c r="N82" s="5"/>
      <x:c r="O82" s="5" t="str">
        <x:v>CF016_supplier</x:v>
      </x:c>
      <x:c r="P82" s="5" t="str">
        <x:v>https://www.sigmaaldrich.com/US/en/product/mm/807532</x:v>
      </x:c>
      <x:c r="Q82" s="17" t="n">
        <x:v>46294</x:v>
      </x:c>
    </x:row>
    <x:row r="83" ht="15" hidden="0" customHeight="1">
      <x:c r="A83" s="5" t="str">
        <x:v>O082</x:v>
      </x:c>
      <x:c r="B83" s="5" t="str">
        <x:v>CF016</x:v>
      </x:c>
      <x:c r="C83" s="5" t="str">
        <x:v>hazard_codes</x:v>
      </x:c>
      <x:c r="D83" s="5" t="str">
        <x:v>H225, H317, H410</x:v>
      </x:c>
      <x:c r="E83" s="5"/>
      <x:c r="F83" s="10"/>
      <x:c r="G83" s="10"/>
      <x:c r="H83" s="10"/>
      <x:c r="I83" s="5" t="str">
        <x:v>EQ</x:v>
      </x:c>
      <x:c r="J83" s="10"/>
      <x:c r="K83" s="10"/>
      <x:c r="L83" s="5"/>
      <x:c r="M83" s="5"/>
      <x:c r="N83" s="5"/>
      <x:c r="O83" s="5" t="str">
        <x:v>CF016_supplier</x:v>
      </x:c>
      <x:c r="P83" s="5" t="str">
        <x:v>https://www.sigmaaldrich.com/US/en/product/mm/807532</x:v>
      </x:c>
      <x:c r="Q83" s="17" t="n">
        <x:v>46294</x:v>
      </x:c>
    </x:row>
    <x:row r="84" ht="24" hidden="0" customHeight="1">
      <x:c r="A84" s="5" t="str">
        <x:v>O083</x:v>
      </x:c>
      <x:c r="B84" s="5" t="str">
        <x:v>CF017</x:v>
      </x:c>
      <x:c r="C84" s="5" t="str">
        <x:v>normal_boiling_point</x:v>
      </x:c>
      <x:c r="D84" s="5" t="str">
        <x:v>322. ± 2. K</x:v>
      </x:c>
      <x:c r="E84" s="5" t="str">
        <x:v>K</x:v>
      </x:c>
      <x:c r="F84" s="10" t="n">
        <x:v>320</x:v>
      </x:c>
      <x:c r="G84" s="10" t="n">
        <x:v>324</x:v>
      </x:c>
      <x:c r="H84" s="10" t="n">
        <x:v>2</x:v>
      </x:c>
      <x:c r="I84" s="5" t="str">
        <x:v>EQ</x:v>
      </x:c>
      <x:c r="J84" s="10" t="n">
        <x:v>46.85</x:v>
      </x:c>
      <x:c r="K84" s="10" t="n">
        <x:v>50.85</x:v>
      </x:c>
      <x:c r="L84" s="5" t="str">
        <x:v>NIST Tboil compilation</x:v>
      </x:c>
      <x:c r="M84" s="5" t="str">
        <x:v>101.325 kPa; normal convention, not separately reported</x:v>
      </x:c>
      <x:c r="N84" s="5" t="str">
        <x:v>Reported compilation spread/TRC uncertainty retained as a conservative screening envelope, not a confidence interval or measurement precision. NIST AVG compilation.</x:v>
      </x:c>
      <x:c r="O84" s="5" t="str">
        <x:v>CF017_nist</x:v>
      </x:c>
      <x:c r="P84" s="5" t="str">
        <x:v>https://webbook.nist.gov/cgi/cbook.cgi?ID=C107108&amp;Mask=4</x:v>
      </x:c>
      <x:c r="Q84" s="17" t="n">
        <x:v>46294</x:v>
      </x:c>
    </x:row>
    <x:row r="85" ht="15" hidden="0" customHeight="1">
      <x:c r="A85" s="5" t="str">
        <x:v>O084</x:v>
      </x:c>
      <x:c r="B85" s="5" t="str">
        <x:v>CF017</x:v>
      </x:c>
      <x:c r="C85" s="5" t="str">
        <x:v>flash_point</x:v>
      </x:c>
      <x:c r="D85" s="5" t="str">
        <x:v>&lt; -35 °C</x:v>
      </x:c>
      <x:c r="E85" s="5" t="str">
        <x:v>degC</x:v>
      </x:c>
      <x:c r="F85" s="10" t="n">
        <x:v>-35</x:v>
      </x:c>
      <x:c r="G85" s="10" t="n">
        <x:v>-35</x:v>
      </x:c>
      <x:c r="H85" s="10"/>
      <x:c r="I85" s="5" t="str">
        <x:v>&lt;</x:v>
      </x:c>
      <x:c r="J85" s="10" t="n">
        <x:v>-35</x:v>
      </x:c>
      <x:c r="K85" s="10" t="n">
        <x:v>-35</x:v>
      </x:c>
      <x:c r="L85" s="5" t="str">
        <x:v>not specified in retrieved record</x:v>
      </x:c>
      <x:c r="M85" s="5"/>
      <x:c r="N85" s="5" t="str">
        <x:v>Supplier-reported product value; specimen and test report not obtained.</x:v>
      </x:c>
      <x:c r="O85" s="5" t="str">
        <x:v>CF017_supplier</x:v>
      </x:c>
      <x:c r="P85" s="5" t="str">
        <x:v>https://www.sigmaaldrich.com/US/en/product/aldrich/109819</x:v>
      </x:c>
      <x:c r="Q85" s="17" t="n">
        <x:v>46294</x:v>
      </x:c>
    </x:row>
    <x:row r="86" ht="15" hidden="0" customHeight="1">
      <x:c r="A86" s="5" t="str">
        <x:v>O085</x:v>
      </x:c>
      <x:c r="B86" s="5" t="str">
        <x:v>CF017</x:v>
      </x:c>
      <x:c r="C86" s="5" t="str">
        <x:v>supplier_boiling_point</x:v>
      </x:c>
      <x:c r="D86" s="5" t="str">
        <x:v>48 °C (lit.)</x:v>
      </x:c>
      <x:c r="E86" s="5"/>
      <x:c r="F86" s="10"/>
      <x:c r="G86" s="10"/>
      <x:c r="H86" s="10"/>
      <x:c r="I86" s="5" t="str">
        <x:v>EQ</x:v>
      </x:c>
      <x:c r="J86" s="10"/>
      <x:c r="K86" s="10"/>
      <x:c r="L86" s="5" t="str">
        <x:v>supplier literature/reference value</x:v>
      </x:c>
      <x:c r="M86" s="5"/>
      <x:c r="N86" s="5" t="str">
        <x:v>Pressure is not inferred from an unqualified supplier boiling point.</x:v>
      </x:c>
      <x:c r="O86" s="5" t="str">
        <x:v>CF017_supplier</x:v>
      </x:c>
      <x:c r="P86" s="5" t="str">
        <x:v>https://www.sigmaaldrich.com/US/en/product/aldrich/109819</x:v>
      </x:c>
      <x:c r="Q86" s="17" t="n">
        <x:v>46294</x:v>
      </x:c>
    </x:row>
    <x:row r="87" ht="48" hidden="0" customHeight="1">
      <x:c r="A87" s="5" t="str">
        <x:v>O086</x:v>
      </x:c>
      <x:c r="B87" s="5" t="str">
        <x:v>CF017</x:v>
      </x:c>
      <x:c r="C87" s="5" t="str">
        <x:v>hazard_classification</x:v>
      </x:c>
      <x:c r="D87" s="5" t="str">
        <x:v>Acute Tox. 3 Dermal - Acute Tox. 3 Inhalation - Acute Tox. 4 Oral - Eye Dam. 1 - Flam. Liq. 2 - Met. Corr. 1 - Skin Corr. 1B - STOT SE 3</x:v>
      </x:c>
      <x:c r="E87" s="5"/>
      <x:c r="F87" s="10"/>
      <x:c r="G87" s="10"/>
      <x:c r="H87" s="10"/>
      <x:c r="I87" s="5" t="str">
        <x:v>EQ</x:v>
      </x:c>
      <x:c r="J87" s="10"/>
      <x:c r="K87" s="10"/>
      <x:c r="L87" s="5"/>
      <x:c r="M87" s="5"/>
      <x:c r="N87" s="5"/>
      <x:c r="O87" s="5" t="str">
        <x:v>CF017_supplier</x:v>
      </x:c>
      <x:c r="P87" s="5" t="str">
        <x:v>https://www.sigmaaldrich.com/US/en/product/aldrich/109819</x:v>
      </x:c>
      <x:c r="Q87" s="17" t="n">
        <x:v>46294</x:v>
      </x:c>
    </x:row>
    <x:row r="88" ht="24" hidden="0" customHeight="1">
      <x:c r="A88" s="5" t="str">
        <x:v>O087</x:v>
      </x:c>
      <x:c r="B88" s="5" t="str">
        <x:v>CF017</x:v>
      </x:c>
      <x:c r="C88" s="5" t="str">
        <x:v>hazard_codes</x:v>
      </x:c>
      <x:c r="D88" s="5" t="str">
        <x:v>H225, H290, H302, H311, H314, H331, H335</x:v>
      </x:c>
      <x:c r="E88" s="5"/>
      <x:c r="F88" s="10"/>
      <x:c r="G88" s="10"/>
      <x:c r="H88" s="10"/>
      <x:c r="I88" s="5" t="str">
        <x:v>EQ</x:v>
      </x:c>
      <x:c r="J88" s="10"/>
      <x:c r="K88" s="10"/>
      <x:c r="L88" s="5"/>
      <x:c r="M88" s="5"/>
      <x:c r="N88" s="5"/>
      <x:c r="O88" s="5" t="str">
        <x:v>CF017_supplier</x:v>
      </x:c>
      <x:c r="P88" s="5" t="str">
        <x:v>https://www.sigmaaldrich.com/US/en/product/aldrich/109819</x:v>
      </x:c>
      <x:c r="Q88" s="17" t="n">
        <x:v>46294</x:v>
      </x:c>
    </x:row>
    <x:row r="89" ht="24" hidden="0" customHeight="1">
      <x:c r="A89" s="5" t="str">
        <x:v>O088</x:v>
      </x:c>
      <x:c r="B89" s="5" t="str">
        <x:v>CF018</x:v>
      </x:c>
      <x:c r="C89" s="5" t="str">
        <x:v>normal_boiling_point</x:v>
      </x:c>
      <x:c r="D89" s="5" t="str">
        <x:v>321. ± 2. K</x:v>
      </x:c>
      <x:c r="E89" s="5" t="str">
        <x:v>K</x:v>
      </x:c>
      <x:c r="F89" s="10" t="n">
        <x:v>319</x:v>
      </x:c>
      <x:c r="G89" s="10" t="n">
        <x:v>323</x:v>
      </x:c>
      <x:c r="H89" s="10" t="n">
        <x:v>2</x:v>
      </x:c>
      <x:c r="I89" s="5" t="str">
        <x:v>EQ</x:v>
      </x:c>
      <x:c r="J89" s="10" t="n">
        <x:v>45.85</x:v>
      </x:c>
      <x:c r="K89" s="10" t="n">
        <x:v>49.85</x:v>
      </x:c>
      <x:c r="L89" s="5" t="str">
        <x:v>NIST Tboil compilation</x:v>
      </x:c>
      <x:c r="M89" s="5" t="str">
        <x:v>101.325 kPa; normal convention, not separately reported</x:v>
      </x:c>
      <x:c r="N89" s="5" t="str">
        <x:v>Reported compilation spread/TRC uncertainty retained as a conservative screening envelope, not a confidence interval or measurement precision. NIST AVG compilation.</x:v>
      </x:c>
      <x:c r="O89" s="5" t="str">
        <x:v>CF018_nist</x:v>
      </x:c>
      <x:c r="P89" s="5" t="str">
        <x:v>https://webbook.nist.gov/cgi/cbook.cgi?ID=C156605&amp;Mask=4</x:v>
      </x:c>
      <x:c r="Q89" s="17" t="n">
        <x:v>46294</x:v>
      </x:c>
    </x:row>
    <x:row r="90" ht="15" hidden="0" customHeight="1">
      <x:c r="A90" s="5" t="str">
        <x:v>O089</x:v>
      </x:c>
      <x:c r="B90" s="5" t="str">
        <x:v>CF018</x:v>
      </x:c>
      <x:c r="C90" s="5" t="str">
        <x:v>flash_point</x:v>
      </x:c>
      <x:c r="D90" s="5" t="str">
        <x:v>6.0 °C - closed cup</x:v>
      </x:c>
      <x:c r="E90" s="5" t="str">
        <x:v>degC</x:v>
      </x:c>
      <x:c r="F90" s="10" t="n">
        <x:v>6</x:v>
      </x:c>
      <x:c r="G90" s="10" t="n">
        <x:v>6</x:v>
      </x:c>
      <x:c r="H90" s="10"/>
      <x:c r="I90" s="5" t="str">
        <x:v>EQ</x:v>
      </x:c>
      <x:c r="J90" s="10" t="n">
        <x:v>6</x:v>
      </x:c>
      <x:c r="K90" s="10" t="n">
        <x:v>6</x:v>
      </x:c>
      <x:c r="L90" s="5" t="str">
        <x:v>closed cup; test standard not specified</x:v>
      </x:c>
      <x:c r="M90" s="5"/>
      <x:c r="N90" s="5" t="str">
        <x:v>Supplier-reported product value; specimen and test report not obtained.</x:v>
      </x:c>
      <x:c r="O90" s="5" t="str">
        <x:v>CF018_supplier</x:v>
      </x:c>
      <x:c r="P90" s="5" t="str">
        <x:v>https://www.sigmaaldrich.com/KR/en/product/aldrich/d62209</x:v>
      </x:c>
      <x:c r="Q90" s="17" t="n">
        <x:v>46294</x:v>
      </x:c>
    </x:row>
    <x:row r="91" ht="15" hidden="0" customHeight="1">
      <x:c r="A91" s="5" t="str">
        <x:v>O090</x:v>
      </x:c>
      <x:c r="B91" s="5" t="str">
        <x:v>CF018</x:v>
      </x:c>
      <x:c r="C91" s="5" t="str">
        <x:v>supplier_boiling_point</x:v>
      </x:c>
      <x:c r="D91" s="5" t="str">
        <x:v>48 °C (lit.)</x:v>
      </x:c>
      <x:c r="E91" s="5"/>
      <x:c r="F91" s="10"/>
      <x:c r="G91" s="10"/>
      <x:c r="H91" s="10"/>
      <x:c r="I91" s="5" t="str">
        <x:v>EQ</x:v>
      </x:c>
      <x:c r="J91" s="10"/>
      <x:c r="K91" s="10"/>
      <x:c r="L91" s="5" t="str">
        <x:v>supplier literature/reference value</x:v>
      </x:c>
      <x:c r="M91" s="5"/>
      <x:c r="N91" s="5" t="str">
        <x:v>Pressure is not inferred from an unqualified supplier boiling point.</x:v>
      </x:c>
      <x:c r="O91" s="5" t="str">
        <x:v>CF018_supplier</x:v>
      </x:c>
      <x:c r="P91" s="5" t="str">
        <x:v>https://www.sigmaaldrich.com/KR/en/product/aldrich/d62209</x:v>
      </x:c>
      <x:c r="Q91" s="17" t="n">
        <x:v>46294</x:v>
      </x:c>
    </x:row>
    <x:row r="92" ht="24" hidden="0" customHeight="1">
      <x:c r="A92" s="5" t="str">
        <x:v>O091</x:v>
      </x:c>
      <x:c r="B92" s="5" t="str">
        <x:v>CF018</x:v>
      </x:c>
      <x:c r="C92" s="5" t="str">
        <x:v>hazard_classification</x:v>
      </x:c>
      <x:c r="D92" s="5" t="str">
        <x:v>Acute Tox. 4 Inhalation - Aquatic Chronic 3 - Flam. Liq. 2</x:v>
      </x:c>
      <x:c r="E92" s="5"/>
      <x:c r="F92" s="10"/>
      <x:c r="G92" s="10"/>
      <x:c r="H92" s="10"/>
      <x:c r="I92" s="5" t="str">
        <x:v>EQ</x:v>
      </x:c>
      <x:c r="J92" s="10"/>
      <x:c r="K92" s="10"/>
      <x:c r="L92" s="5"/>
      <x:c r="M92" s="5"/>
      <x:c r="N92" s="5"/>
      <x:c r="O92" s="5" t="str">
        <x:v>CF018_supplier</x:v>
      </x:c>
      <x:c r="P92" s="5" t="str">
        <x:v>https://www.sigmaaldrich.com/KR/en/product/aldrich/d62209</x:v>
      </x:c>
      <x:c r="Q92" s="17" t="n">
        <x:v>46294</x:v>
      </x:c>
    </x:row>
    <x:row r="93" ht="15" hidden="0" customHeight="1">
      <x:c r="A93" s="5" t="str">
        <x:v>O092</x:v>
      </x:c>
      <x:c r="B93" s="5" t="str">
        <x:v>CF018</x:v>
      </x:c>
      <x:c r="C93" s="5" t="str">
        <x:v>hazard_codes</x:v>
      </x:c>
      <x:c r="D93" s="5" t="str">
        <x:v>H225, H332, H412</x:v>
      </x:c>
      <x:c r="E93" s="5"/>
      <x:c r="F93" s="10"/>
      <x:c r="G93" s="10"/>
      <x:c r="H93" s="10"/>
      <x:c r="I93" s="5" t="str">
        <x:v>EQ</x:v>
      </x:c>
      <x:c r="J93" s="10"/>
      <x:c r="K93" s="10"/>
      <x:c r="L93" s="5"/>
      <x:c r="M93" s="5"/>
      <x:c r="N93" s="5"/>
      <x:c r="O93" s="5" t="str">
        <x:v>CF018_supplier</x:v>
      </x:c>
      <x:c r="P93" s="5" t="str">
        <x:v>https://www.sigmaaldrich.com/KR/en/product/aldrich/d62209</x:v>
      </x:c>
      <x:c r="Q93" s="17" t="n">
        <x:v>46294</x:v>
      </x:c>
    </x:row>
    <x:row r="94" ht="24" hidden="0" customHeight="1">
      <x:c r="A94" s="5" t="str">
        <x:v>O093</x:v>
      </x:c>
      <x:c r="B94" s="5" t="str">
        <x:v>CF018</x:v>
      </x:c>
      <x:c r="C94" s="5" t="str">
        <x:v>flash_point</x:v>
      </x:c>
      <x:c r="D94" s="5" t="str">
        <x:v>36 °F</x:v>
      </x:c>
      <x:c r="E94" s="5" t="str">
        <x:v>degF</x:v>
      </x:c>
      <x:c r="F94" s="10" t="n">
        <x:v>36</x:v>
      </x:c>
      <x:c r="G94" s="10" t="n">
        <x:v>36</x:v>
      </x:c>
      <x:c r="H94" s="10"/>
      <x:c r="I94" s="5" t="str">
        <x:v>EQ</x:v>
      </x:c>
      <x:c r="J94" s="10" t="n">
        <x:v>2.222222</x:v>
      </x:c>
      <x:c r="K94" s="10" t="n">
        <x:v>2.222222</x:v>
      </x:c>
      <x:c r="L94" s="5" t="str">
        <x:v>CONFLICT: section 5 ASTM D56; section 9 TAG OPEN CUP</x:v>
      </x:c>
      <x:c r="M94" s="5"/>
      <x:c r="N94" s="5" t="str">
        <x:v>Enviro Tech SDS dated 2023-01-04, &gt;99% material. Both descriptions retained; do not assign one method.</x:v>
      </x:c>
      <x:c r="O94" s="5" t="str">
        <x:v>CF018_alt_sds</x:v>
      </x:c>
      <x:c r="P94" s="5" t="str">
        <x:v>https://envirotechint.com/wp-content/uploads/2025/01/ETI-12-trans-dichloroethylene-SDS-1-4-23.pdf</x:v>
      </x:c>
      <x:c r="Q94" s="17" t="n">
        <x:v>46294</x:v>
      </x:c>
    </x:row>
    <x:row r="95" ht="24" hidden="0" customHeight="1">
      <x:c r="A95" s="5" t="str">
        <x:v>O094</x:v>
      </x:c>
      <x:c r="B95" s="5" t="str">
        <x:v>CF019</x:v>
      </x:c>
      <x:c r="C95" s="5" t="str">
        <x:v>normal_boiling_point</x:v>
      </x:c>
      <x:c r="D95" s="5" t="str">
        <x:v>320. ± 1. K</x:v>
      </x:c>
      <x:c r="E95" s="5" t="str">
        <x:v>K</x:v>
      </x:c>
      <x:c r="F95" s="10" t="n">
        <x:v>319</x:v>
      </x:c>
      <x:c r="G95" s="10" t="n">
        <x:v>321</x:v>
      </x:c>
      <x:c r="H95" s="10" t="n">
        <x:v>1</x:v>
      </x:c>
      <x:c r="I95" s="5" t="str">
        <x:v>EQ</x:v>
      </x:c>
      <x:c r="J95" s="10" t="n">
        <x:v>45.85</x:v>
      </x:c>
      <x:c r="K95" s="10" t="n">
        <x:v>47.85</x:v>
      </x:c>
      <x:c r="L95" s="5" t="str">
        <x:v>NIST Tboil compilation</x:v>
      </x:c>
      <x:c r="M95" s="5" t="str">
        <x:v>101.325 kPa; normal convention, not separately reported</x:v>
      </x:c>
      <x:c r="N95" s="5" t="str">
        <x:v>Reported compilation spread/TRC uncertainty retained as a conservative screening envelope, not a confidence interval or measurement precision. NIST AVG compilation.</x:v>
      </x:c>
      <x:c r="O95" s="5" t="str">
        <x:v>CF019_nist</x:v>
      </x:c>
      <x:c r="P95" s="5" t="str">
        <x:v>https://webbook.nist.gov/cgi/cbook.cgi?ID=C540545&amp;Mask=4</x:v>
      </x:c>
      <x:c r="Q95" s="17" t="n">
        <x:v>46294</x:v>
      </x:c>
    </x:row>
    <x:row r="96" ht="15" hidden="0" customHeight="1">
      <x:c r="A96" s="5" t="str">
        <x:v>O095</x:v>
      </x:c>
      <x:c r="B96" s="5" t="str">
        <x:v>CF019</x:v>
      </x:c>
      <x:c r="C96" s="5" t="str">
        <x:v>flash_point</x:v>
      </x:c>
      <x:c r="D96" s="5" t="str">
        <x:v>-18 °C</x:v>
      </x:c>
      <x:c r="E96" s="5" t="str">
        <x:v>degC</x:v>
      </x:c>
      <x:c r="F96" s="10" t="n">
        <x:v>-18</x:v>
      </x:c>
      <x:c r="G96" s="10" t="n">
        <x:v>-18</x:v>
      </x:c>
      <x:c r="H96" s="10"/>
      <x:c r="I96" s="5" t="str">
        <x:v>EQ</x:v>
      </x:c>
      <x:c r="J96" s="10" t="n">
        <x:v>-18</x:v>
      </x:c>
      <x:c r="K96" s="10" t="n">
        <x:v>-18</x:v>
      </x:c>
      <x:c r="L96" s="5" t="str">
        <x:v>not specified in retrieved record</x:v>
      </x:c>
      <x:c r="M96" s="5"/>
      <x:c r="N96" s="5" t="str">
        <x:v>Supplier-reported product value; specimen and test report not obtained.</x:v>
      </x:c>
      <x:c r="O96" s="5" t="str">
        <x:v>CF019_supplier</x:v>
      </x:c>
      <x:c r="P96" s="5" t="str">
        <x:v>https://www.sigmaaldrich.com/US/en/product/mm/818841</x:v>
      </x:c>
      <x:c r="Q96" s="17" t="n">
        <x:v>46294</x:v>
      </x:c>
    </x:row>
    <x:row r="97" ht="24" hidden="0" customHeight="1">
      <x:c r="A97" s="5" t="str">
        <x:v>O096</x:v>
      </x:c>
      <x:c r="B97" s="5" t="str">
        <x:v>CF019</x:v>
      </x:c>
      <x:c r="C97" s="5" t="str">
        <x:v>hazard_classification</x:v>
      </x:c>
      <x:c r="D97" s="5" t="str">
        <x:v>Acute Tox. 4 Dermal - Acute Tox. 4 Inhalation - Acute Tox. 4 Oral - Flam. Liq. 2</x:v>
      </x:c>
      <x:c r="E97" s="5"/>
      <x:c r="F97" s="10"/>
      <x:c r="G97" s="10"/>
      <x:c r="H97" s="10"/>
      <x:c r="I97" s="5" t="str">
        <x:v>EQ</x:v>
      </x:c>
      <x:c r="J97" s="10"/>
      <x:c r="K97" s="10"/>
      <x:c r="L97" s="5"/>
      <x:c r="M97" s="5"/>
      <x:c r="N97" s="5"/>
      <x:c r="O97" s="5" t="str">
        <x:v>CF019_supplier</x:v>
      </x:c>
      <x:c r="P97" s="5" t="str">
        <x:v>https://www.sigmaaldrich.com/US/en/product/mm/818841</x:v>
      </x:c>
      <x:c r="Q97" s="17" t="n">
        <x:v>46294</x:v>
      </x:c>
    </x:row>
    <x:row r="98" ht="15" hidden="0" customHeight="1">
      <x:c r="A98" s="5" t="str">
        <x:v>O097</x:v>
      </x:c>
      <x:c r="B98" s="5" t="str">
        <x:v>CF019</x:v>
      </x:c>
      <x:c r="C98" s="5" t="str">
        <x:v>hazard_codes</x:v>
      </x:c>
      <x:c r="D98" s="5" t="str">
        <x:v>H225, H302, H312, H332</x:v>
      </x:c>
      <x:c r="E98" s="5"/>
      <x:c r="F98" s="10"/>
      <x:c r="G98" s="10"/>
      <x:c r="H98" s="10"/>
      <x:c r="I98" s="5" t="str">
        <x:v>EQ</x:v>
      </x:c>
      <x:c r="J98" s="10"/>
      <x:c r="K98" s="10"/>
      <x:c r="L98" s="5"/>
      <x:c r="M98" s="5"/>
      <x:c r="N98" s="5"/>
      <x:c r="O98" s="5" t="str">
        <x:v>CF019_supplier</x:v>
      </x:c>
      <x:c r="P98" s="5" t="str">
        <x:v>https://www.sigmaaldrich.com/US/en/product/mm/818841</x:v>
      </x:c>
      <x:c r="Q98" s="17" t="n">
        <x:v>46294</x:v>
      </x:c>
    </x:row>
    <x:row r="99" ht="24" hidden="0" customHeight="1">
      <x:c r="A99" s="5" t="str">
        <x:v>O098</x:v>
      </x:c>
      <x:c r="B99" s="5" t="str">
        <x:v>CF020</x:v>
      </x:c>
      <x:c r="C99" s="5" t="str">
        <x:v>normal_boiling_point</x:v>
      </x:c>
      <x:c r="D99" s="5" t="str">
        <x:v>324.1 ± 0.9 K</x:v>
      </x:c>
      <x:c r="E99" s="5" t="str">
        <x:v>K</x:v>
      </x:c>
      <x:c r="F99" s="10" t="n">
        <x:v>323.20000000000005</x:v>
      </x:c>
      <x:c r="G99" s="10" t="n">
        <x:v>325</x:v>
      </x:c>
      <x:c r="H99" s="10" t="n">
        <x:v>0.9</x:v>
      </x:c>
      <x:c r="I99" s="5" t="str">
        <x:v>EQ</x:v>
      </x:c>
      <x:c r="J99" s="10" t="n">
        <x:v>50.05</x:v>
      </x:c>
      <x:c r="K99" s="10" t="n">
        <x:v>51.85</x:v>
      </x:c>
      <x:c r="L99" s="5" t="str">
        <x:v>NIST Tboil compilation</x:v>
      </x:c>
      <x:c r="M99" s="5" t="str">
        <x:v>101.325 kPa; normal convention, not separately reported</x:v>
      </x:c>
      <x:c r="N99" s="5" t="str">
        <x:v>Reported compilation spread/TRC uncertainty retained as a conservative screening envelope, not a confidence interval or measurement precision. NIST AVG compilation.</x:v>
      </x:c>
      <x:c r="O99" s="5" t="str">
        <x:v>CF020_nist</x:v>
      </x:c>
      <x:c r="P99" s="5" t="str">
        <x:v>https://webbook.nist.gov/cgi/cbook.cgi?ID=C507200&amp;Mask=4</x:v>
      </x:c>
      <x:c r="Q99" s="17" t="n">
        <x:v>46294</x:v>
      </x:c>
    </x:row>
    <x:row r="100" ht="15" hidden="0" customHeight="1">
      <x:c r="A100" s="5" t="str">
        <x:v>O099</x:v>
      </x:c>
      <x:c r="B100" s="5" t="str">
        <x:v>CF020</x:v>
      </x:c>
      <x:c r="C100" s="5" t="str">
        <x:v>flash_point</x:v>
      </x:c>
      <x:c r="D100" s="5" t="str">
        <x:v>-26 °C - closed cup</x:v>
      </x:c>
      <x:c r="E100" s="5" t="str">
        <x:v>degC</x:v>
      </x:c>
      <x:c r="F100" s="10" t="n">
        <x:v>-26</x:v>
      </x:c>
      <x:c r="G100" s="10" t="n">
        <x:v>-26</x:v>
      </x:c>
      <x:c r="H100" s="10"/>
      <x:c r="I100" s="5" t="str">
        <x:v>EQ</x:v>
      </x:c>
      <x:c r="J100" s="10" t="n">
        <x:v>-26</x:v>
      </x:c>
      <x:c r="K100" s="10" t="n">
        <x:v>-26</x:v>
      </x:c>
      <x:c r="L100" s="5" t="str">
        <x:v>closed cup; test standard not specified</x:v>
      </x:c>
      <x:c r="M100" s="5"/>
      <x:c r="N100" s="5" t="str">
        <x:v>Supplier-reported product value; specimen and test report not obtained.</x:v>
      </x:c>
      <x:c r="O100" s="5" t="str">
        <x:v>CF020_supplier</x:v>
      </x:c>
      <x:c r="P100" s="5" t="str">
        <x:v>https://www.sigmaaldrich.com/US/en/product/aldrich/c56352</x:v>
      </x:c>
      <x:c r="Q100" s="17" t="n">
        <x:v>46294</x:v>
      </x:c>
    </x:row>
    <x:row r="101" ht="15" hidden="0" customHeight="1">
      <x:c r="A101" s="5" t="str">
        <x:v>O100</x:v>
      </x:c>
      <x:c r="B101" s="5" t="str">
        <x:v>CF020</x:v>
      </x:c>
      <x:c r="C101" s="5" t="str">
        <x:v>supplier_boiling_point</x:v>
      </x:c>
      <x:c r="D101" s="5" t="str">
        <x:v>51-52 °C (lit.)</x:v>
      </x:c>
      <x:c r="E101" s="5"/>
      <x:c r="F101" s="10"/>
      <x:c r="G101" s="10"/>
      <x:c r="H101" s="10"/>
      <x:c r="I101" s="5" t="str">
        <x:v>EQ</x:v>
      </x:c>
      <x:c r="J101" s="10"/>
      <x:c r="K101" s="10"/>
      <x:c r="L101" s="5" t="str">
        <x:v>supplier literature/reference value</x:v>
      </x:c>
      <x:c r="M101" s="5"/>
      <x:c r="N101" s="5" t="str">
        <x:v>Pressure is not inferred from an unqualified supplier boiling point.</x:v>
      </x:c>
      <x:c r="O101" s="5" t="str">
        <x:v>CF020_supplier</x:v>
      </x:c>
      <x:c r="P101" s="5" t="str">
        <x:v>https://www.sigmaaldrich.com/US/en/product/aldrich/c56352</x:v>
      </x:c>
      <x:c r="Q101" s="17" t="n">
        <x:v>46294</x:v>
      </x:c>
    </x:row>
    <x:row r="102" ht="15" hidden="0" customHeight="1">
      <x:c r="A102" s="5" t="str">
        <x:v>O101</x:v>
      </x:c>
      <x:c r="B102" s="5" t="str">
        <x:v>CF020</x:v>
      </x:c>
      <x:c r="C102" s="5" t="str">
        <x:v>hazard_classification</x:v>
      </x:c>
      <x:c r="D102" s="5" t="str">
        <x:v>Flam. Liq. 2</x:v>
      </x:c>
      <x:c r="E102" s="5"/>
      <x:c r="F102" s="10"/>
      <x:c r="G102" s="10"/>
      <x:c r="H102" s="10"/>
      <x:c r="I102" s="5" t="str">
        <x:v>EQ</x:v>
      </x:c>
      <x:c r="J102" s="10"/>
      <x:c r="K102" s="10"/>
      <x:c r="L102" s="5"/>
      <x:c r="M102" s="5"/>
      <x:c r="N102" s="5"/>
      <x:c r="O102" s="5" t="str">
        <x:v>CF020_supplier</x:v>
      </x:c>
      <x:c r="P102" s="5" t="str">
        <x:v>https://www.sigmaaldrich.com/US/en/product/aldrich/c56352</x:v>
      </x:c>
      <x:c r="Q102" s="17" t="n">
        <x:v>46294</x:v>
      </x:c>
    </x:row>
    <x:row r="103" ht="15" hidden="0" customHeight="1">
      <x:c r="A103" s="5" t="str">
        <x:v>O102</x:v>
      </x:c>
      <x:c r="B103" s="5" t="str">
        <x:v>CF020</x:v>
      </x:c>
      <x:c r="C103" s="5" t="str">
        <x:v>hazard_codes</x:v>
      </x:c>
      <x:c r="D103" s="5" t="str">
        <x:v>H225</x:v>
      </x:c>
      <x:c r="E103" s="5"/>
      <x:c r="F103" s="10"/>
      <x:c r="G103" s="10"/>
      <x:c r="H103" s="10"/>
      <x:c r="I103" s="5" t="str">
        <x:v>EQ</x:v>
      </x:c>
      <x:c r="J103" s="10"/>
      <x:c r="K103" s="10"/>
      <x:c r="L103" s="5"/>
      <x:c r="M103" s="5"/>
      <x:c r="N103" s="5"/>
      <x:c r="O103" s="5" t="str">
        <x:v>CF020_supplier</x:v>
      </x:c>
      <x:c r="P103" s="5" t="str">
        <x:v>https://www.sigmaaldrich.com/US/en/product/aldrich/c56352</x:v>
      </x:c>
      <x:c r="Q103" s="17" t="n">
        <x:v>46294</x:v>
      </x:c>
    </x:row>
    <x:row r="104" ht="24" hidden="0" customHeight="1">
      <x:c r="A104" s="5" t="str">
        <x:v>O103</x:v>
      </x:c>
      <x:c r="B104" s="5" t="str">
        <x:v>CF021</x:v>
      </x:c>
      <x:c r="C104" s="5" t="str">
        <x:v>normal_boiling_point</x:v>
      </x:c>
      <x:c r="D104" s="5" t="str">
        <x:v>328.2 ± 0.2 K</x:v>
      </x:c>
      <x:c r="E104" s="5" t="str">
        <x:v>K</x:v>
      </x:c>
      <x:c r="F104" s="10" t="n">
        <x:v>328</x:v>
      </x:c>
      <x:c r="G104" s="10" t="n">
        <x:v>328.4</x:v>
      </x:c>
      <x:c r="H104" s="10" t="n">
        <x:v>0.2</x:v>
      </x:c>
      <x:c r="I104" s="5" t="str">
        <x:v>EQ</x:v>
      </x:c>
      <x:c r="J104" s="10" t="n">
        <x:v>54.85</x:v>
      </x:c>
      <x:c r="K104" s="10" t="n">
        <x:v>55.25</x:v>
      </x:c>
      <x:c r="L104" s="5" t="str">
        <x:v>NIST Tboil compilation</x:v>
      </x:c>
      <x:c r="M104" s="5" t="str">
        <x:v>101.325 kPa; normal convention, not separately reported</x:v>
      </x:c>
      <x:c r="N104" s="5" t="str">
        <x:v>Reported compilation spread/TRC uncertainty retained as a conservative screening envelope, not a confidence interval or measurement precision. NIST AVG compilation.</x:v>
      </x:c>
      <x:c r="O104" s="5" t="str">
        <x:v>CF021_nist</x:v>
      </x:c>
      <x:c r="P104" s="5" t="str">
        <x:v>https://webbook.nist.gov/cgi/cbook.cgi?ID=C1634044&amp;Mask=4</x:v>
      </x:c>
      <x:c r="Q104" s="17" t="n">
        <x:v>46294</x:v>
      </x:c>
    </x:row>
    <x:row r="105" ht="15" hidden="0" customHeight="1">
      <x:c r="A105" s="5" t="str">
        <x:v>O104</x:v>
      </x:c>
      <x:c r="B105" s="5" t="str">
        <x:v>CF021</x:v>
      </x:c>
      <x:c r="C105" s="5" t="str">
        <x:v>flash_point</x:v>
      </x:c>
      <x:c r="D105" s="5" t="str">
        <x:v>-28 °C - closed cup</x:v>
      </x:c>
      <x:c r="E105" s="5" t="str">
        <x:v>degC</x:v>
      </x:c>
      <x:c r="F105" s="10" t="n">
        <x:v>-28</x:v>
      </x:c>
      <x:c r="G105" s="10" t="n">
        <x:v>-28</x:v>
      </x:c>
      <x:c r="H105" s="10"/>
      <x:c r="I105" s="5" t="str">
        <x:v>EQ</x:v>
      </x:c>
      <x:c r="J105" s="10" t="n">
        <x:v>-28</x:v>
      </x:c>
      <x:c r="K105" s="10" t="n">
        <x:v>-28</x:v>
      </x:c>
      <x:c r="L105" s="5" t="str">
        <x:v>closed cup; test standard not specified</x:v>
      </x:c>
      <x:c r="M105" s="5"/>
      <x:c r="N105" s="5" t="str">
        <x:v>Supplier-reported product value; specimen and test report not obtained.</x:v>
      </x:c>
      <x:c r="O105" s="5" t="str">
        <x:v>CF021_supplier</x:v>
      </x:c>
      <x:c r="P105" s="5" t="str">
        <x:v>https://www.sigmaaldrich.com/US/en/product/sial/306975</x:v>
      </x:c>
      <x:c r="Q105" s="17" t="n">
        <x:v>46294</x:v>
      </x:c>
    </x:row>
    <x:row r="106" ht="15" hidden="0" customHeight="1">
      <x:c r="A106" s="5" t="str">
        <x:v>O105</x:v>
      </x:c>
      <x:c r="B106" s="5" t="str">
        <x:v>CF021</x:v>
      </x:c>
      <x:c r="C106" s="5" t="str">
        <x:v>supplier_boiling_point</x:v>
      </x:c>
      <x:c r="D106" s="5" t="str">
        <x:v>55-56 °C (lit.)</x:v>
      </x:c>
      <x:c r="E106" s="5"/>
      <x:c r="F106" s="10"/>
      <x:c r="G106" s="10"/>
      <x:c r="H106" s="10"/>
      <x:c r="I106" s="5" t="str">
        <x:v>EQ</x:v>
      </x:c>
      <x:c r="J106" s="10"/>
      <x:c r="K106" s="10"/>
      <x:c r="L106" s="5" t="str">
        <x:v>supplier literature/reference value</x:v>
      </x:c>
      <x:c r="M106" s="5"/>
      <x:c r="N106" s="5" t="str">
        <x:v>Pressure is not inferred from an unqualified supplier boiling point.</x:v>
      </x:c>
      <x:c r="O106" s="5" t="str">
        <x:v>CF021_supplier</x:v>
      </x:c>
      <x:c r="P106" s="5" t="str">
        <x:v>https://www.sigmaaldrich.com/US/en/product/sial/306975</x:v>
      </x:c>
      <x:c r="Q106" s="17" t="n">
        <x:v>46294</x:v>
      </x:c>
    </x:row>
    <x:row r="107" ht="15" hidden="0" customHeight="1">
      <x:c r="A107" s="5" t="str">
        <x:v>O106</x:v>
      </x:c>
      <x:c r="B107" s="5" t="str">
        <x:v>CF021</x:v>
      </x:c>
      <x:c r="C107" s="5" t="str">
        <x:v>hazard_classification</x:v>
      </x:c>
      <x:c r="D107" s="5" t="str">
        <x:v>Flam. Liq. 2 - Skin Irrit. 2</x:v>
      </x:c>
      <x:c r="E107" s="5"/>
      <x:c r="F107" s="10"/>
      <x:c r="G107" s="10"/>
      <x:c r="H107" s="10"/>
      <x:c r="I107" s="5" t="str">
        <x:v>EQ</x:v>
      </x:c>
      <x:c r="J107" s="10"/>
      <x:c r="K107" s="10"/>
      <x:c r="L107" s="5"/>
      <x:c r="M107" s="5"/>
      <x:c r="N107" s="5"/>
      <x:c r="O107" s="5" t="str">
        <x:v>CF021_supplier</x:v>
      </x:c>
      <x:c r="P107" s="5" t="str">
        <x:v>https://www.sigmaaldrich.com/US/en/product/sial/306975</x:v>
      </x:c>
      <x:c r="Q107" s="17" t="n">
        <x:v>46294</x:v>
      </x:c>
    </x:row>
    <x:row r="108" ht="15" hidden="0" customHeight="1">
      <x:c r="A108" s="5" t="str">
        <x:v>O107</x:v>
      </x:c>
      <x:c r="B108" s="5" t="str">
        <x:v>CF021</x:v>
      </x:c>
      <x:c r="C108" s="5" t="str">
        <x:v>hazard_codes</x:v>
      </x:c>
      <x:c r="D108" s="5" t="str">
        <x:v>H225, H315</x:v>
      </x:c>
      <x:c r="E108" s="5"/>
      <x:c r="F108" s="10"/>
      <x:c r="G108" s="10"/>
      <x:c r="H108" s="10"/>
      <x:c r="I108" s="5" t="str">
        <x:v>EQ</x:v>
      </x:c>
      <x:c r="J108" s="10"/>
      <x:c r="K108" s="10"/>
      <x:c r="L108" s="5"/>
      <x:c r="M108" s="5"/>
      <x:c r="N108" s="5"/>
      <x:c r="O108" s="5" t="str">
        <x:v>CF021_supplier</x:v>
      </x:c>
      <x:c r="P108" s="5" t="str">
        <x:v>https://www.sigmaaldrich.com/US/en/product/sial/306975</x:v>
      </x:c>
      <x:c r="Q108" s="17" t="n">
        <x:v>46294</x:v>
      </x:c>
    </x:row>
    <x:row r="109" ht="24" hidden="0" customHeight="1">
      <x:c r="A109" s="5" t="str">
        <x:v>O108</x:v>
      </x:c>
      <x:c r="B109" s="5" t="str">
        <x:v>CF022</x:v>
      </x:c>
      <x:c r="C109" s="5" t="str">
        <x:v>normal_boiling_point</x:v>
      </x:c>
      <x:c r="D109" s="5" t="str">
        <x:v>328.7 ± 0.8 K</x:v>
      </x:c>
      <x:c r="E109" s="5" t="str">
        <x:v>K</x:v>
      </x:c>
      <x:c r="F109" s="10" t="n">
        <x:v>327.9</x:v>
      </x:c>
      <x:c r="G109" s="10" t="n">
        <x:v>329.5</x:v>
      </x:c>
      <x:c r="H109" s="10" t="n">
        <x:v>0.8</x:v>
      </x:c>
      <x:c r="I109" s="5" t="str">
        <x:v>EQ</x:v>
      </x:c>
      <x:c r="J109" s="10" t="n">
        <x:v>54.75</x:v>
      </x:c>
      <x:c r="K109" s="10" t="n">
        <x:v>56.35</x:v>
      </x:c>
      <x:c r="L109" s="5" t="str">
        <x:v>NIST Tboil compilation</x:v>
      </x:c>
      <x:c r="M109" s="5" t="str">
        <x:v>101.325 kPa; normal convention, not separately reported</x:v>
      </x:c>
      <x:c r="N109" s="5" t="str">
        <x:v>Reported compilation spread/TRC uncertainty retained as a conservative screening envelope, not a confidence interval or measurement precision. NIST AVG compilation.</x:v>
      </x:c>
      <x:c r="O109" s="5" t="str">
        <x:v>CF022_nist</x:v>
      </x:c>
      <x:c r="P109" s="5" t="str">
        <x:v>https://webbook.nist.gov/cgi/cbook.cgi?ID=C109897&amp;Mask=4</x:v>
      </x:c>
      <x:c r="Q109" s="17" t="n">
        <x:v>46294</x:v>
      </x:c>
    </x:row>
    <x:row r="110" ht="15" hidden="0" customHeight="1">
      <x:c r="A110" s="5" t="str">
        <x:v>O109</x:v>
      </x:c>
      <x:c r="B110" s="5" t="str">
        <x:v>CF022</x:v>
      </x:c>
      <x:c r="C110" s="5" t="str">
        <x:v>flash_point</x:v>
      </x:c>
      <x:c r="D110" s="5" t="str">
        <x:v>-26 °C - closed cup</x:v>
      </x:c>
      <x:c r="E110" s="5" t="str">
        <x:v>degC</x:v>
      </x:c>
      <x:c r="F110" s="10" t="n">
        <x:v>-26</x:v>
      </x:c>
      <x:c r="G110" s="10" t="n">
        <x:v>-26</x:v>
      </x:c>
      <x:c r="H110" s="10"/>
      <x:c r="I110" s="5" t="str">
        <x:v>EQ</x:v>
      </x:c>
      <x:c r="J110" s="10" t="n">
        <x:v>-26</x:v>
      </x:c>
      <x:c r="K110" s="10" t="n">
        <x:v>-26</x:v>
      </x:c>
      <x:c r="L110" s="5" t="str">
        <x:v>closed cup; test standard not specified</x:v>
      </x:c>
      <x:c r="M110" s="5"/>
      <x:c r="N110" s="5" t="str">
        <x:v>Supplier-reported product value; specimen and test report not obtained.</x:v>
      </x:c>
      <x:c r="O110" s="5" t="str">
        <x:v>CF022_supplier</x:v>
      </x:c>
      <x:c r="P110" s="5" t="str">
        <x:v>https://www.sigmaaldrich.com/US/en/product/aldrich/110000</x:v>
      </x:c>
      <x:c r="Q110" s="17" t="n">
        <x:v>46294</x:v>
      </x:c>
    </x:row>
    <x:row r="111" ht="15" hidden="0" customHeight="1">
      <x:c r="A111" s="5" t="str">
        <x:v>O110</x:v>
      </x:c>
      <x:c r="B111" s="5" t="str">
        <x:v>CF022</x:v>
      </x:c>
      <x:c r="C111" s="5" t="str">
        <x:v>supplier_boiling_point</x:v>
      </x:c>
      <x:c r="D111" s="5" t="str">
        <x:v>55 °C (lit.)</x:v>
      </x:c>
      <x:c r="E111" s="5"/>
      <x:c r="F111" s="10"/>
      <x:c r="G111" s="10"/>
      <x:c r="H111" s="10"/>
      <x:c r="I111" s="5" t="str">
        <x:v>EQ</x:v>
      </x:c>
      <x:c r="J111" s="10"/>
      <x:c r="K111" s="10"/>
      <x:c r="L111" s="5" t="str">
        <x:v>supplier literature/reference value</x:v>
      </x:c>
      <x:c r="M111" s="5"/>
      <x:c r="N111" s="5" t="str">
        <x:v>Pressure is not inferred from an unqualified supplier boiling point.</x:v>
      </x:c>
      <x:c r="O111" s="5" t="str">
        <x:v>CF022_supplier</x:v>
      </x:c>
      <x:c r="P111" s="5" t="str">
        <x:v>https://www.sigmaaldrich.com/US/en/product/aldrich/110000</x:v>
      </x:c>
      <x:c r="Q111" s="17" t="n">
        <x:v>46294</x:v>
      </x:c>
    </x:row>
    <x:row r="112" ht="36" hidden="0" customHeight="1">
      <x:c r="A112" s="5" t="str">
        <x:v>O111</x:v>
      </x:c>
      <x:c r="B112" s="5" t="str">
        <x:v>CF022</x:v>
      </x:c>
      <x:c r="C112" s="5" t="str">
        <x:v>hazard_classification</x:v>
      </x:c>
      <x:c r="D112" s="5" t="str">
        <x:v>Acute Tox. 3 Dermal - Acute Tox. 3 Oral - Acute Tox. 4 Inhalation - Eye Dam. 1 - Flam. Liq. 2 - Skin Corr. 1A - STOT SE 3</x:v>
      </x:c>
      <x:c r="E112" s="5"/>
      <x:c r="F112" s="10"/>
      <x:c r="G112" s="10"/>
      <x:c r="H112" s="10"/>
      <x:c r="I112" s="5" t="str">
        <x:v>EQ</x:v>
      </x:c>
      <x:c r="J112" s="10"/>
      <x:c r="K112" s="10"/>
      <x:c r="L112" s="5"/>
      <x:c r="M112" s="5"/>
      <x:c r="N112" s="5"/>
      <x:c r="O112" s="5" t="str">
        <x:v>CF022_supplier</x:v>
      </x:c>
      <x:c r="P112" s="5" t="str">
        <x:v>https://www.sigmaaldrich.com/US/en/product/aldrich/110000</x:v>
      </x:c>
      <x:c r="Q112" s="17" t="n">
        <x:v>46294</x:v>
      </x:c>
    </x:row>
    <x:row r="113" ht="15" hidden="0" customHeight="1">
      <x:c r="A113" s="5" t="str">
        <x:v>O112</x:v>
      </x:c>
      <x:c r="B113" s="5" t="str">
        <x:v>CF022</x:v>
      </x:c>
      <x:c r="C113" s="5" t="str">
        <x:v>hazard_codes</x:v>
      </x:c>
      <x:c r="D113" s="5" t="str">
        <x:v>H225, H301, H311, H314, H332, H335</x:v>
      </x:c>
      <x:c r="E113" s="5"/>
      <x:c r="F113" s="10"/>
      <x:c r="G113" s="10"/>
      <x:c r="H113" s="10"/>
      <x:c r="I113" s="5" t="str">
        <x:v>EQ</x:v>
      </x:c>
      <x:c r="J113" s="10"/>
      <x:c r="K113" s="10"/>
      <x:c r="L113" s="5"/>
      <x:c r="M113" s="5"/>
      <x:c r="N113" s="5"/>
      <x:c r="O113" s="5" t="str">
        <x:v>CF022_supplier</x:v>
      </x:c>
      <x:c r="P113" s="5" t="str">
        <x:v>https://www.sigmaaldrich.com/US/en/product/aldrich/110000</x:v>
      </x:c>
      <x:c r="Q113" s="17" t="n">
        <x:v>46294</x:v>
      </x:c>
    </x:row>
    <x:row r="114" ht="24" hidden="0" customHeight="1">
      <x:c r="A114" s="5" t="str">
        <x:v>O113</x:v>
      </x:c>
      <x:c r="B114" s="5" t="str">
        <x:v>CF023</x:v>
      </x:c>
      <x:c r="C114" s="5" t="str">
        <x:v>normal_boiling_point</x:v>
      </x:c>
      <x:c r="D114" s="5" t="str">
        <x:v>328. to 329. K</x:v>
      </x:c>
      <x:c r="E114" s="5" t="str">
        <x:v>K</x:v>
      </x:c>
      <x:c r="F114" s="10" t="n">
        <x:v>328</x:v>
      </x:c>
      <x:c r="G114" s="10" t="n">
        <x:v>329</x:v>
      </x:c>
      <x:c r="H114" s="10"/>
      <x:c r="I114" s="5" t="str">
        <x:v>EQ</x:v>
      </x:c>
      <x:c r="J114" s="10" t="n">
        <x:v>54.85</x:v>
      </x:c>
      <x:c r="K114" s="10" t="n">
        <x:v>55.85</x:v>
      </x:c>
      <x:c r="L114" s="5" t="str">
        <x:v>NIST Tboil compilation</x:v>
      </x:c>
      <x:c r="M114" s="5" t="str">
        <x:v>101.325 kPa; normal convention, not separately reported</x:v>
      </x:c>
      <x:c r="N114" s="5" t="str">
        <x:v>Reported compilation spread/TRC uncertainty retained as a conservative screening envelope, not a confidence interval or measurement precision. Individually listed reference value.</x:v>
      </x:c>
      <x:c r="O114" s="5" t="str">
        <x:v>CF023_nist</x:v>
      </x:c>
      <x:c r="P114" s="5" t="str">
        <x:v>https://webbook.nist.gov/cgi/cbook.cgi?ID=C151564&amp;Mask=4</x:v>
      </x:c>
      <x:c r="Q114" s="17" t="n">
        <x:v>46294</x:v>
      </x:c>
    </x:row>
    <x:row r="115" ht="24" hidden="0" customHeight="1">
      <x:c r="A115" s="5" t="str">
        <x:v>O114</x:v>
      </x:c>
      <x:c r="B115" s="5" t="str">
        <x:v>CF023</x:v>
      </x:c>
      <x:c r="C115" s="5" t="str">
        <x:v>normal_boiling_point</x:v>
      </x:c>
      <x:c r="D115" s="5" t="str">
        <x:v>328.65 K; TRC uncertainty 0.6 K</x:v>
      </x:c>
      <x:c r="E115" s="5" t="str">
        <x:v>K</x:v>
      </x:c>
      <x:c r="F115" s="10" t="n">
        <x:v>328.04999999999995</x:v>
      </x:c>
      <x:c r="G115" s="10" t="n">
        <x:v>329.25</x:v>
      </x:c>
      <x:c r="H115" s="10" t="n">
        <x:v>0.6</x:v>
      </x:c>
      <x:c r="I115" s="5" t="str">
        <x:v>EQ</x:v>
      </x:c>
      <x:c r="J115" s="10" t="n">
        <x:v>54.9</x:v>
      </x:c>
      <x:c r="K115" s="10" t="n">
        <x:v>56.1</x:v>
      </x:c>
      <x:c r="L115" s="5" t="str">
        <x:v>NIST Tboil compilation</x:v>
      </x:c>
      <x:c r="M115" s="5" t="str">
        <x:v>101.325 kPa; normal convention, not separately reported</x:v>
      </x:c>
      <x:c r="N115" s="5" t="str">
        <x:v>Reported compilation spread/TRC uncertainty retained as a conservative screening envelope, not a confidence interval or measurement precision. Individually listed reference value.</x:v>
      </x:c>
      <x:c r="O115" s="5" t="str">
        <x:v>CF023_nist</x:v>
      </x:c>
      <x:c r="P115" s="5" t="str">
        <x:v>https://webbook.nist.gov/cgi/cbook.cgi?ID=C151564&amp;Mask=4</x:v>
      </x:c>
      <x:c r="Q115" s="17" t="n">
        <x:v>46294</x:v>
      </x:c>
    </x:row>
    <x:row r="116" ht="24" hidden="0" customHeight="1">
      <x:c r="A116" s="5" t="str">
        <x:v>O115</x:v>
      </x:c>
      <x:c r="B116" s="5" t="str">
        <x:v>CF023</x:v>
      </x:c>
      <x:c r="C116" s="5" t="str">
        <x:v>normal_boiling_point</x:v>
      </x:c>
      <x:c r="D116" s="5" t="str">
        <x:v>329. K; TRC uncertainty 2. K</x:v>
      </x:c>
      <x:c r="E116" s="5" t="str">
        <x:v>K</x:v>
      </x:c>
      <x:c r="F116" s="10" t="n">
        <x:v>327</x:v>
      </x:c>
      <x:c r="G116" s="10" t="n">
        <x:v>331</x:v>
      </x:c>
      <x:c r="H116" s="10" t="n">
        <x:v>2</x:v>
      </x:c>
      <x:c r="I116" s="5" t="str">
        <x:v>EQ</x:v>
      </x:c>
      <x:c r="J116" s="10" t="n">
        <x:v>53.85</x:v>
      </x:c>
      <x:c r="K116" s="10" t="n">
        <x:v>57.85</x:v>
      </x:c>
      <x:c r="L116" s="5" t="str">
        <x:v>NIST Tboil compilation</x:v>
      </x:c>
      <x:c r="M116" s="5" t="str">
        <x:v>101.325 kPa; normal convention, not separately reported</x:v>
      </x:c>
      <x:c r="N116" s="5" t="str">
        <x:v>Reported compilation spread/TRC uncertainty retained as a conservative screening envelope, not a confidence interval or measurement precision. Individually listed reference value.</x:v>
      </x:c>
      <x:c r="O116" s="5" t="str">
        <x:v>CF023_nist</x:v>
      </x:c>
      <x:c r="P116" s="5" t="str">
        <x:v>https://webbook.nist.gov/cgi/cbook.cgi?ID=C151564&amp;Mask=4</x:v>
      </x:c>
      <x:c r="Q116" s="17" t="n">
        <x:v>46294</x:v>
      </x:c>
    </x:row>
    <x:row r="117" ht="15" hidden="0" customHeight="1">
      <x:c r="A117" s="5" t="str">
        <x:v>O116</x:v>
      </x:c>
      <x:c r="B117" s="5" t="str">
        <x:v>CF023</x:v>
      </x:c>
      <x:c r="C117" s="5" t="str">
        <x:v>government_boiling_point</x:v>
      </x:c>
      <x:c r="D117" s="5" t="str">
        <x:v>133°F</x:v>
      </x:c>
      <x:c r="E117" s="5"/>
      <x:c r="F117" s="10"/>
      <x:c r="G117" s="10"/>
      <x:c r="H117" s="10"/>
      <x:c r="I117" s="5" t="str">
        <x:v>EQ</x:v>
      </x:c>
      <x:c r="J117" s="10"/>
      <x:c r="K117" s="10"/>
      <x:c r="L117" s="5" t="str">
        <x:v>NIOSH reference value</x:v>
      </x:c>
      <x:c r="M117" s="5"/>
      <x:c r="N117" s="5" t="str">
        <x:v>Corroborating value; NIST envelope remains the declared screen.</x:v>
      </x:c>
      <x:c r="O117" s="5" t="str">
        <x:v>CF023_niosh</x:v>
      </x:c>
      <x:c r="P117" s="5" t="str">
        <x:v>https://www.cdc.gov/niosh/npg/npgd0274.html</x:v>
      </x:c>
      <x:c r="Q117" s="17" t="n">
        <x:v>46294</x:v>
      </x:c>
    </x:row>
    <x:row r="118" ht="15" hidden="0" customHeight="1">
      <x:c r="A118" s="5" t="str">
        <x:v>O117</x:v>
      </x:c>
      <x:c r="B118" s="5" t="str">
        <x:v>CF023</x:v>
      </x:c>
      <x:c r="C118" s="5" t="str">
        <x:v>flash_point</x:v>
      </x:c>
      <x:c r="D118" s="5" t="str">
        <x:v>12°F</x:v>
      </x:c>
      <x:c r="E118" s="5" t="str">
        <x:v>degF</x:v>
      </x:c>
      <x:c r="F118" s="10" t="n">
        <x:v>12</x:v>
      </x:c>
      <x:c r="G118" s="10" t="n">
        <x:v>12</x:v>
      </x:c>
      <x:c r="H118" s="10"/>
      <x:c r="I118" s="5" t="str">
        <x:v>EQ</x:v>
      </x:c>
      <x:c r="J118" s="10" t="n">
        <x:v>-11.111111</x:v>
      </x:c>
      <x:c r="K118" s="10" t="n">
        <x:v>-11.111111</x:v>
      </x:c>
      <x:c r="L118" s="5" t="str">
        <x:v>not specified in NIOSH entry</x:v>
      </x:c>
      <x:c r="M118" s="5"/>
      <x:c r="N118" s="5" t="str">
        <x:v>Government-reported reference value; converted with (F−32)×5/9.</x:v>
      </x:c>
      <x:c r="O118" s="5" t="str">
        <x:v>CF023_niosh</x:v>
      </x:c>
      <x:c r="P118" s="5" t="str">
        <x:v>https://www.cdc.gov/niosh/npg/npgd0274.html</x:v>
      </x:c>
      <x:c r="Q118" s="17" t="n">
        <x:v>46294</x:v>
      </x:c>
    </x:row>
    <x:row r="119" ht="24" hidden="0" customHeight="1">
      <x:c r="A119" s="5" t="str">
        <x:v>O118</x:v>
      </x:c>
      <x:c r="B119" s="5" t="str">
        <x:v>CF023</x:v>
      </x:c>
      <x:c r="C119" s="5" t="str">
        <x:v>fire_description</x:v>
      </x:c>
      <x:c r="D119" s="5" t="str">
        <x:v>Class IB Flammable Liquid: Fl.P. below 73°F and BP at or above 100°F.</x:v>
      </x:c>
      <x:c r="E119" s="5"/>
      <x:c r="F119" s="10"/>
      <x:c r="G119" s="10"/>
      <x:c r="H119" s="10"/>
      <x:c r="I119" s="5" t="str">
        <x:v>EQ</x:v>
      </x:c>
      <x:c r="J119" s="10"/>
      <x:c r="K119" s="10"/>
      <x:c r="L119" s="5"/>
      <x:c r="M119" s="5"/>
      <x:c r="N119" s="5"/>
      <x:c r="O119" s="5" t="str">
        <x:v>CF023_niosh</x:v>
      </x:c>
      <x:c r="P119" s="5" t="str">
        <x:v>https://www.cdc.gov/niosh/npg/npgd0274.html</x:v>
      </x:c>
      <x:c r="Q119" s="17" t="n">
        <x:v>46294</x:v>
      </x:c>
    </x:row>
    <x:row r="120" ht="24" hidden="0" customHeight="1">
      <x:c r="A120" s="5" t="str">
        <x:v>O119</x:v>
      </x:c>
      <x:c r="B120" s="5" t="str">
        <x:v>CF024</x:v>
      </x:c>
      <x:c r="C120" s="5" t="str">
        <x:v>normal_boiling_point</x:v>
      </x:c>
      <x:c r="D120" s="5" t="str">
        <x:v>329.3 ± 0.3 K</x:v>
      </x:c>
      <x:c r="E120" s="5" t="str">
        <x:v>K</x:v>
      </x:c>
      <x:c r="F120" s="10" t="n">
        <x:v>329</x:v>
      </x:c>
      <x:c r="G120" s="10" t="n">
        <x:v>329.6</x:v>
      </x:c>
      <x:c r="H120" s="10" t="n">
        <x:v>0.3</x:v>
      </x:c>
      <x:c r="I120" s="5" t="str">
        <x:v>EQ</x:v>
      </x:c>
      <x:c r="J120" s="10" t="n">
        <x:v>55.85</x:v>
      </x:c>
      <x:c r="K120" s="10" t="n">
        <x:v>56.45</x:v>
      </x:c>
      <x:c r="L120" s="5" t="str">
        <x:v>NIST Tboil compilation</x:v>
      </x:c>
      <x:c r="M120" s="5" t="str">
        <x:v>101.325 kPa; normal convention, not separately reported</x:v>
      </x:c>
      <x:c r="N120" s="5" t="str">
        <x:v>Reported compilation spread/TRC uncertainty retained as a conservative screening envelope, not a confidence interval or measurement precision. NIST AVG compilation.</x:v>
      </x:c>
      <x:c r="O120" s="5" t="str">
        <x:v>CF024_nist</x:v>
      </x:c>
      <x:c r="P120" s="5" t="str">
        <x:v>https://webbook.nist.gov/cgi/cbook.cgi?ID=C67641&amp;Mask=4</x:v>
      </x:c>
      <x:c r="Q120" s="17" t="n">
        <x:v>46294</x:v>
      </x:c>
    </x:row>
    <x:row r="121" ht="15" hidden="0" customHeight="1">
      <x:c r="A121" s="5" t="str">
        <x:v>O120</x:v>
      </x:c>
      <x:c r="B121" s="5" t="str">
        <x:v>CF024</x:v>
      </x:c>
      <x:c r="C121" s="5" t="str">
        <x:v>flash_point</x:v>
      </x:c>
      <x:c r="D121" s="5" t="str">
        <x:v>-17.0 °C - closed cup</x:v>
      </x:c>
      <x:c r="E121" s="5" t="str">
        <x:v>degC</x:v>
      </x:c>
      <x:c r="F121" s="10" t="n">
        <x:v>-17</x:v>
      </x:c>
      <x:c r="G121" s="10" t="n">
        <x:v>-17</x:v>
      </x:c>
      <x:c r="H121" s="10"/>
      <x:c r="I121" s="5" t="str">
        <x:v>EQ</x:v>
      </x:c>
      <x:c r="J121" s="10" t="n">
        <x:v>-17</x:v>
      </x:c>
      <x:c r="K121" s="10" t="n">
        <x:v>-17</x:v>
      </x:c>
      <x:c r="L121" s="5" t="str">
        <x:v>closed cup; test standard not specified</x:v>
      </x:c>
      <x:c r="M121" s="5"/>
      <x:c r="N121" s="5" t="str">
        <x:v>Supplier-reported product value; specimen and test report not obtained.</x:v>
      </x:c>
      <x:c r="O121" s="5" t="str">
        <x:v>CF024_supplier</x:v>
      </x:c>
      <x:c r="P121" s="5" t="str">
        <x:v>https://www.sigmaaldrich.com/US/en/product/sigald/179124</x:v>
      </x:c>
      <x:c r="Q121" s="17" t="n">
        <x:v>46294</x:v>
      </x:c>
    </x:row>
    <x:row r="122" ht="15" hidden="0" customHeight="1">
      <x:c r="A122" s="5" t="str">
        <x:v>O121</x:v>
      </x:c>
      <x:c r="B122" s="5" t="str">
        <x:v>CF024</x:v>
      </x:c>
      <x:c r="C122" s="5" t="str">
        <x:v>supplier_boiling_point</x:v>
      </x:c>
      <x:c r="D122" s="5" t="str">
        <x:v>56 °C/760 mmHg (lit.)</x:v>
      </x:c>
      <x:c r="E122" s="5"/>
      <x:c r="F122" s="10"/>
      <x:c r="G122" s="10"/>
      <x:c r="H122" s="10"/>
      <x:c r="I122" s="5" t="str">
        <x:v>EQ</x:v>
      </x:c>
      <x:c r="J122" s="10"/>
      <x:c r="K122" s="10"/>
      <x:c r="L122" s="5" t="str">
        <x:v>supplier literature/reference value</x:v>
      </x:c>
      <x:c r="M122" s="5"/>
      <x:c r="N122" s="5" t="str">
        <x:v>Pressure is not inferred from an unqualified supplier boiling point.</x:v>
      </x:c>
      <x:c r="O122" s="5" t="str">
        <x:v>CF024_supplier</x:v>
      </x:c>
      <x:c r="P122" s="5" t="str">
        <x:v>https://www.sigmaaldrich.com/US/en/product/sigald/179124</x:v>
      </x:c>
      <x:c r="Q122" s="17" t="n">
        <x:v>46294</x:v>
      </x:c>
    </x:row>
    <x:row r="123" ht="15" hidden="0" customHeight="1">
      <x:c r="A123" s="5" t="str">
        <x:v>O122</x:v>
      </x:c>
      <x:c r="B123" s="5" t="str">
        <x:v>CF024</x:v>
      </x:c>
      <x:c r="C123" s="5" t="str">
        <x:v>hazard_classification</x:v>
      </x:c>
      <x:c r="D123" s="5" t="str">
        <x:v>Eye Irrit. 2 - Flam. Liq. 2 - STOT SE 3</x:v>
      </x:c>
      <x:c r="E123" s="5"/>
      <x:c r="F123" s="10"/>
      <x:c r="G123" s="10"/>
      <x:c r="H123" s="10"/>
      <x:c r="I123" s="5" t="str">
        <x:v>EQ</x:v>
      </x:c>
      <x:c r="J123" s="10"/>
      <x:c r="K123" s="10"/>
      <x:c r="L123" s="5"/>
      <x:c r="M123" s="5"/>
      <x:c r="N123" s="5"/>
      <x:c r="O123" s="5" t="str">
        <x:v>CF024_supplier</x:v>
      </x:c>
      <x:c r="P123" s="5" t="str">
        <x:v>https://www.sigmaaldrich.com/US/en/product/sigald/179124</x:v>
      </x:c>
      <x:c r="Q123" s="17" t="n">
        <x:v>46294</x:v>
      </x:c>
    </x:row>
    <x:row r="124" ht="15" hidden="0" customHeight="1">
      <x:c r="A124" s="5" t="str">
        <x:v>O123</x:v>
      </x:c>
      <x:c r="B124" s="5" t="str">
        <x:v>CF024</x:v>
      </x:c>
      <x:c r="C124" s="5" t="str">
        <x:v>hazard_codes</x:v>
      </x:c>
      <x:c r="D124" s="5" t="str">
        <x:v>H225, H319, H336</x:v>
      </x:c>
      <x:c r="E124" s="5"/>
      <x:c r="F124" s="10"/>
      <x:c r="G124" s="10"/>
      <x:c r="H124" s="10"/>
      <x:c r="I124" s="5" t="str">
        <x:v>EQ</x:v>
      </x:c>
      <x:c r="J124" s="10"/>
      <x:c r="K124" s="10"/>
      <x:c r="L124" s="5"/>
      <x:c r="M124" s="5"/>
      <x:c r="N124" s="5"/>
      <x:c r="O124" s="5" t="str">
        <x:v>CF024_supplier</x:v>
      </x:c>
      <x:c r="P124" s="5" t="str">
        <x:v>https://www.sigmaaldrich.com/US/en/product/sigald/179124</x:v>
      </x:c>
      <x:c r="Q124" s="17" t="n">
        <x:v>46294</x:v>
      </x:c>
    </x:row>
    <x:row r="125" ht="24" hidden="0" customHeight="1">
      <x:c r="A125" s="5" t="str">
        <x:v>O124</x:v>
      </x:c>
      <x:c r="B125" s="5" t="str">
        <x:v>CF025</x:v>
      </x:c>
      <x:c r="C125" s="5" t="str">
        <x:v>normal_boiling_point</x:v>
      </x:c>
      <x:c r="D125" s="5" t="str">
        <x:v>330.0 ± 0.9 K</x:v>
      </x:c>
      <x:c r="E125" s="5" t="str">
        <x:v>K</x:v>
      </x:c>
      <x:c r="F125" s="10" t="n">
        <x:v>329.1</x:v>
      </x:c>
      <x:c r="G125" s="10" t="n">
        <x:v>330.9</x:v>
      </x:c>
      <x:c r="H125" s="10" t="n">
        <x:v>0.9</x:v>
      </x:c>
      <x:c r="I125" s="5" t="str">
        <x:v>EQ</x:v>
      </x:c>
      <x:c r="J125" s="10" t="n">
        <x:v>55.95</x:v>
      </x:c>
      <x:c r="K125" s="10" t="n">
        <x:v>57.75</x:v>
      </x:c>
      <x:c r="L125" s="5" t="str">
        <x:v>NIST Tboil compilation</x:v>
      </x:c>
      <x:c r="M125" s="5" t="str">
        <x:v>101.325 kPa; normal convention, not separately reported</x:v>
      </x:c>
      <x:c r="N125" s="5" t="str">
        <x:v>Reported compilation spread/TRC uncertainty retained as a conservative screening envelope, not a confidence interval or measurement precision. NIST AVG compilation.</x:v>
      </x:c>
      <x:c r="O125" s="5" t="str">
        <x:v>CF025_nist</x:v>
      </x:c>
      <x:c r="P125" s="5" t="str">
        <x:v>https://webbook.nist.gov/cgi/cbook.cgi?ID=C79209&amp;Mask=4</x:v>
      </x:c>
      <x:c r="Q125" s="17" t="n">
        <x:v>46294</x:v>
      </x:c>
    </x:row>
    <x:row r="126" ht="15" hidden="0" customHeight="1">
      <x:c r="A126" s="5" t="str">
        <x:v>O125</x:v>
      </x:c>
      <x:c r="B126" s="5" t="str">
        <x:v>CF025</x:v>
      </x:c>
      <x:c r="C126" s="5" t="str">
        <x:v>flash_point</x:v>
      </x:c>
      <x:c r="D126" s="5" t="str">
        <x:v>-13 °C - closed cup</x:v>
      </x:c>
      <x:c r="E126" s="5" t="str">
        <x:v>degC</x:v>
      </x:c>
      <x:c r="F126" s="10" t="n">
        <x:v>-13</x:v>
      </x:c>
      <x:c r="G126" s="10" t="n">
        <x:v>-13</x:v>
      </x:c>
      <x:c r="H126" s="10"/>
      <x:c r="I126" s="5" t="str">
        <x:v>EQ</x:v>
      </x:c>
      <x:c r="J126" s="10" t="n">
        <x:v>-13</x:v>
      </x:c>
      <x:c r="K126" s="10" t="n">
        <x:v>-13</x:v>
      </x:c>
      <x:c r="L126" s="5" t="str">
        <x:v>closed cup; test standard not specified</x:v>
      </x:c>
      <x:c r="M126" s="5"/>
      <x:c r="N126" s="5" t="str">
        <x:v>Supplier-reported product value; specimen and test report not obtained.</x:v>
      </x:c>
      <x:c r="O126" s="5" t="str">
        <x:v>CF025_supplier</x:v>
      </x:c>
      <x:c r="P126" s="5" t="str">
        <x:v>https://www.sigmaaldrich.com/US/en/product/mm/589593</x:v>
      </x:c>
      <x:c r="Q126" s="17" t="n">
        <x:v>46294</x:v>
      </x:c>
    </x:row>
    <x:row r="127" ht="15" hidden="0" customHeight="1">
      <x:c r="A127" s="5" t="str">
        <x:v>O126</x:v>
      </x:c>
      <x:c r="B127" s="5" t="str">
        <x:v>CF025</x:v>
      </x:c>
      <x:c r="C127" s="5" t="str">
        <x:v>supplier_boiling_point</x:v>
      </x:c>
      <x:c r="D127" s="5" t="str">
        <x:v>57-58 °C (lit.)</x:v>
      </x:c>
      <x:c r="E127" s="5"/>
      <x:c r="F127" s="10"/>
      <x:c r="G127" s="10"/>
      <x:c r="H127" s="10"/>
      <x:c r="I127" s="5" t="str">
        <x:v>EQ</x:v>
      </x:c>
      <x:c r="J127" s="10"/>
      <x:c r="K127" s="10"/>
      <x:c r="L127" s="5" t="str">
        <x:v>supplier literature/reference value</x:v>
      </x:c>
      <x:c r="M127" s="5"/>
      <x:c r="N127" s="5" t="str">
        <x:v>Pressure is not inferred from an unqualified supplier boiling point.</x:v>
      </x:c>
      <x:c r="O127" s="5" t="str">
        <x:v>CF025_supplier</x:v>
      </x:c>
      <x:c r="P127" s="5" t="str">
        <x:v>https://www.sigmaaldrich.com/US/en/product/mm/589593</x:v>
      </x:c>
      <x:c r="Q127" s="17" t="n">
        <x:v>46294</x:v>
      </x:c>
    </x:row>
    <x:row r="128" ht="15" hidden="0" customHeight="1">
      <x:c r="A128" s="5" t="str">
        <x:v>O127</x:v>
      </x:c>
      <x:c r="B128" s="5" t="str">
        <x:v>CF025</x:v>
      </x:c>
      <x:c r="C128" s="5" t="str">
        <x:v>hazard_classification</x:v>
      </x:c>
      <x:c r="D128" s="5" t="str">
        <x:v>Eye Irrit. 2 - Flam. Liq. 2 - STOT SE 3</x:v>
      </x:c>
      <x:c r="E128" s="5"/>
      <x:c r="F128" s="10"/>
      <x:c r="G128" s="10"/>
      <x:c r="H128" s="10"/>
      <x:c r="I128" s="5" t="str">
        <x:v>EQ</x:v>
      </x:c>
      <x:c r="J128" s="10"/>
      <x:c r="K128" s="10"/>
      <x:c r="L128" s="5"/>
      <x:c r="M128" s="5"/>
      <x:c r="N128" s="5"/>
      <x:c r="O128" s="5" t="str">
        <x:v>CF025_supplier</x:v>
      </x:c>
      <x:c r="P128" s="5" t="str">
        <x:v>https://www.sigmaaldrich.com/US/en/product/mm/589593</x:v>
      </x:c>
      <x:c r="Q128" s="17" t="n">
        <x:v>46294</x:v>
      </x:c>
    </x:row>
    <x:row r="129" ht="15" hidden="0" customHeight="1">
      <x:c r="A129" s="5" t="str">
        <x:v>O128</x:v>
      </x:c>
      <x:c r="B129" s="5" t="str">
        <x:v>CF025</x:v>
      </x:c>
      <x:c r="C129" s="5" t="str">
        <x:v>hazard_codes</x:v>
      </x:c>
      <x:c r="D129" s="5" t="str">
        <x:v>H225, H319, H336</x:v>
      </x:c>
      <x:c r="E129" s="5"/>
      <x:c r="F129" s="10"/>
      <x:c r="G129" s="10"/>
      <x:c r="H129" s="10"/>
      <x:c r="I129" s="5" t="str">
        <x:v>EQ</x:v>
      </x:c>
      <x:c r="J129" s="10"/>
      <x:c r="K129" s="10"/>
      <x:c r="L129" s="5"/>
      <x:c r="M129" s="5"/>
      <x:c r="N129" s="5"/>
      <x:c r="O129" s="5" t="str">
        <x:v>CF025_supplier</x:v>
      </x:c>
      <x:c r="P129" s="5" t="str">
        <x:v>https://www.sigmaaldrich.com/US/en/product/mm/589593</x:v>
      </x:c>
      <x:c r="Q129" s="17" t="n">
        <x:v>46294</x:v>
      </x:c>
    </x:row>
    <x:row r="130" ht="24" hidden="0" customHeight="1">
      <x:c r="A130" s="5" t="str">
        <x:v>O129</x:v>
      </x:c>
      <x:c r="B130" s="5" t="str">
        <x:v>CF026</x:v>
      </x:c>
      <x:c r="C130" s="5" t="str">
        <x:v>normal_boiling_point</x:v>
      </x:c>
      <x:c r="D130" s="5" t="str">
        <x:v>317. ± 2. K</x:v>
      </x:c>
      <x:c r="E130" s="5" t="str">
        <x:v>K</x:v>
      </x:c>
      <x:c r="F130" s="10" t="n">
        <x:v>315</x:v>
      </x:c>
      <x:c r="G130" s="10" t="n">
        <x:v>319</x:v>
      </x:c>
      <x:c r="H130" s="10" t="n">
        <x:v>2</x:v>
      </x:c>
      <x:c r="I130" s="5" t="str">
        <x:v>EQ</x:v>
      </x:c>
      <x:c r="J130" s="10" t="n">
        <x:v>41.85</x:v>
      </x:c>
      <x:c r="K130" s="10" t="n">
        <x:v>45.85</x:v>
      </x:c>
      <x:c r="L130" s="5" t="str">
        <x:v>NIST Tboil compilation</x:v>
      </x:c>
      <x:c r="M130" s="5" t="str">
        <x:v>101.325 kPa; normal convention, not separately reported</x:v>
      </x:c>
      <x:c r="N130" s="5" t="str">
        <x:v>Reported compilation spread/TRC uncertainty retained as a conservative screening envelope, not a confidence interval or measurement precision. NIST AVG compilation.</x:v>
      </x:c>
      <x:c r="O130" s="5" t="str">
        <x:v>CF026_nist</x:v>
      </x:c>
      <x:c r="P130" s="5" t="str">
        <x:v>https://webbook.nist.gov/cgi/cbook.cgi?ID=C142290&amp;Mask=4</x:v>
      </x:c>
      <x:c r="Q130" s="17" t="n">
        <x:v>46294</x:v>
      </x:c>
    </x:row>
    <x:row r="131" ht="15" hidden="0" customHeight="1">
      <x:c r="A131" s="5" t="str">
        <x:v>O130</x:v>
      </x:c>
      <x:c r="B131" s="5" t="str">
        <x:v>CF026</x:v>
      </x:c>
      <x:c r="C131" s="5" t="str">
        <x:v>flash_point</x:v>
      </x:c>
      <x:c r="D131" s="5" t="str">
        <x:v>-34.4 °C - closed cup</x:v>
      </x:c>
      <x:c r="E131" s="5" t="str">
        <x:v>degC</x:v>
      </x:c>
      <x:c r="F131" s="10" t="n">
        <x:v>-34.4</x:v>
      </x:c>
      <x:c r="G131" s="10" t="n">
        <x:v>-34.4</x:v>
      </x:c>
      <x:c r="H131" s="10"/>
      <x:c r="I131" s="5" t="str">
        <x:v>EQ</x:v>
      </x:c>
      <x:c r="J131" s="10" t="n">
        <x:v>-34.4</x:v>
      </x:c>
      <x:c r="K131" s="10" t="n">
        <x:v>-34.4</x:v>
      </x:c>
      <x:c r="L131" s="5" t="str">
        <x:v>closed cup; test standard not specified</x:v>
      </x:c>
      <x:c r="M131" s="5"/>
      <x:c r="N131" s="5" t="str">
        <x:v>Supplier-reported product value; specimen and test report not obtained.</x:v>
      </x:c>
      <x:c r="O131" s="5" t="str">
        <x:v>CF026_supplier</x:v>
      </x:c>
      <x:c r="P131" s="5" t="str">
        <x:v>https://www.sigmaaldrich.com/GB/en/product/aldrich/344508</x:v>
      </x:c>
      <x:c r="Q131" s="17" t="n">
        <x:v>46294</x:v>
      </x:c>
    </x:row>
    <x:row r="132" ht="15" hidden="0" customHeight="1">
      <x:c r="A132" s="5" t="str">
        <x:v>O131</x:v>
      </x:c>
      <x:c r="B132" s="5" t="str">
        <x:v>CF026</x:v>
      </x:c>
      <x:c r="C132" s="5" t="str">
        <x:v>supplier_boiling_point</x:v>
      </x:c>
      <x:c r="D132" s="5" t="str">
        <x:v>44-46 °C (lit.)</x:v>
      </x:c>
      <x:c r="E132" s="5"/>
      <x:c r="F132" s="10"/>
      <x:c r="G132" s="10"/>
      <x:c r="H132" s="10"/>
      <x:c r="I132" s="5" t="str">
        <x:v>EQ</x:v>
      </x:c>
      <x:c r="J132" s="10"/>
      <x:c r="K132" s="10"/>
      <x:c r="L132" s="5" t="str">
        <x:v>supplier literature/reference value</x:v>
      </x:c>
      <x:c r="M132" s="5"/>
      <x:c r="N132" s="5" t="str">
        <x:v>Pressure is not inferred from an unqualified supplier boiling point.</x:v>
      </x:c>
      <x:c r="O132" s="5" t="str">
        <x:v>CF026_supplier</x:v>
      </x:c>
      <x:c r="P132" s="5" t="str">
        <x:v>https://www.sigmaaldrich.com/GB/en/product/aldrich/344508</x:v>
      </x:c>
      <x:c r="Q132" s="17" t="n">
        <x:v>46294</x:v>
      </x:c>
    </x:row>
    <x:row r="133" ht="24" hidden="0" customHeight="1">
      <x:c r="A133" s="5" t="str">
        <x:v>O132</x:v>
      </x:c>
      <x:c r="B133" s="5" t="str">
        <x:v>CF026</x:v>
      </x:c>
      <x:c r="C133" s="5" t="str">
        <x:v>hazard_classification</x:v>
      </x:c>
      <x:c r="D133" s="5" t="str">
        <x:v>Acute Tox. 4 Dermal - Acute Tox. 4 Oral - Asp. Tox. 1 - Flam. Liq. 2 - Skin Irrit. 2</x:v>
      </x:c>
      <x:c r="E133" s="5"/>
      <x:c r="F133" s="10"/>
      <x:c r="G133" s="10"/>
      <x:c r="H133" s="10"/>
      <x:c r="I133" s="5" t="str">
        <x:v>EQ</x:v>
      </x:c>
      <x:c r="J133" s="10"/>
      <x:c r="K133" s="10"/>
      <x:c r="L133" s="5"/>
      <x:c r="M133" s="5"/>
      <x:c r="N133" s="5"/>
      <x:c r="O133" s="5" t="str">
        <x:v>CF026_supplier</x:v>
      </x:c>
      <x:c r="P133" s="5" t="str">
        <x:v>https://www.sigmaaldrich.com/GB/en/product/aldrich/344508</x:v>
      </x:c>
      <x:c r="Q133" s="17" t="n">
        <x:v>46294</x:v>
      </x:c>
    </x:row>
    <x:row r="134" ht="15" hidden="0" customHeight="1">
      <x:c r="A134" s="5" t="str">
        <x:v>O133</x:v>
      </x:c>
      <x:c r="B134" s="5" t="str">
        <x:v>CF026</x:v>
      </x:c>
      <x:c r="C134" s="5" t="str">
        <x:v>hazard_codes</x:v>
      </x:c>
      <x:c r="D134" s="5" t="str">
        <x:v>H225, H302, H304, H312, H315</x:v>
      </x:c>
      <x:c r="E134" s="5"/>
      <x:c r="F134" s="10"/>
      <x:c r="G134" s="10"/>
      <x:c r="H134" s="10"/>
      <x:c r="I134" s="5" t="str">
        <x:v>EQ</x:v>
      </x:c>
      <x:c r="J134" s="10"/>
      <x:c r="K134" s="10"/>
      <x:c r="L134" s="5"/>
      <x:c r="M134" s="5"/>
      <x:c r="N134" s="5"/>
      <x:c r="O134" s="5" t="str">
        <x:v>CF026_supplier</x:v>
      </x:c>
      <x:c r="P134" s="5" t="str">
        <x:v>https://www.sigmaaldrich.com/GB/en/product/aldrich/344508</x:v>
      </x:c>
      <x:c r="Q134" s="17" t="n">
        <x:v>46294</x:v>
      </x:c>
    </x:row>
    <x:row r="135" ht="24" hidden="0" customHeight="1">
      <x:c r="A135" s="5" t="str">
        <x:v>O134</x:v>
      </x:c>
      <x:c r="B135" s="5" t="str">
        <x:v>CF027</x:v>
      </x:c>
      <x:c r="C135" s="5" t="str">
        <x:v>normal_boiling_point</x:v>
      </x:c>
      <x:c r="D135" s="5" t="str">
        <x:v>329.0 ± 0.9 K</x:v>
      </x:c>
      <x:c r="E135" s="5" t="str">
        <x:v>K</x:v>
      </x:c>
      <x:c r="F135" s="10" t="n">
        <x:v>328.1</x:v>
      </x:c>
      <x:c r="G135" s="10" t="n">
        <x:v>329.9</x:v>
      </x:c>
      <x:c r="H135" s="10" t="n">
        <x:v>0.9</x:v>
      </x:c>
      <x:c r="I135" s="5" t="str">
        <x:v>EQ</x:v>
      </x:c>
      <x:c r="J135" s="10" t="n">
        <x:v>54.95</x:v>
      </x:c>
      <x:c r="K135" s="10" t="n">
        <x:v>56.75</x:v>
      </x:c>
      <x:c r="L135" s="5" t="str">
        <x:v>NIST Tboil compilation</x:v>
      </x:c>
      <x:c r="M135" s="5" t="str">
        <x:v>101.325 kPa; normal convention, not separately reported</x:v>
      </x:c>
      <x:c r="N135" s="5" t="str">
        <x:v>Reported compilation spread/TRC uncertainty retained as a conservative screening envelope, not a confidence interval or measurement precision. NIST AVG compilation.</x:v>
      </x:c>
      <x:c r="O135" s="5" t="str">
        <x:v>CF027_nist</x:v>
      </x:c>
      <x:c r="P135" s="5" t="str">
        <x:v>https://webbook.nist.gov/cgi/cbook.cgi?ID=C627214&amp;Mask=4</x:v>
      </x:c>
      <x:c r="Q135" s="17" t="n">
        <x:v>46294</x:v>
      </x:c>
    </x:row>
    <x:row r="136" ht="15" hidden="0" customHeight="1">
      <x:c r="A136" s="5" t="str">
        <x:v>O135</x:v>
      </x:c>
      <x:c r="B136" s="5" t="str">
        <x:v>CF027</x:v>
      </x:c>
      <x:c r="C136" s="5" t="str">
        <x:v>flash_point</x:v>
      </x:c>
      <x:c r="D136" s="5" t="str">
        <x:v>-31 °C - closed cup</x:v>
      </x:c>
      <x:c r="E136" s="5" t="str">
        <x:v>degC</x:v>
      </x:c>
      <x:c r="F136" s="10" t="n">
        <x:v>-31</x:v>
      </x:c>
      <x:c r="G136" s="10" t="n">
        <x:v>-31</x:v>
      </x:c>
      <x:c r="H136" s="10"/>
      <x:c r="I136" s="5" t="str">
        <x:v>EQ</x:v>
      </x:c>
      <x:c r="J136" s="10" t="n">
        <x:v>-31</x:v>
      </x:c>
      <x:c r="K136" s="10" t="n">
        <x:v>-31</x:v>
      </x:c>
      <x:c r="L136" s="5" t="str">
        <x:v>closed cup; test standard not specified</x:v>
      </x:c>
      <x:c r="M136" s="5"/>
      <x:c r="N136" s="5" t="str">
        <x:v>Supplier-reported product value; specimen and test report not obtained.</x:v>
      </x:c>
      <x:c r="O136" s="5" t="str">
        <x:v>CF027_supplier</x:v>
      </x:c>
      <x:c r="P136" s="5" t="str">
        <x:v>https://www.sigmaaldrich.com/US/en/product/aldrich/271357</x:v>
      </x:c>
      <x:c r="Q136" s="17" t="n">
        <x:v>46294</x:v>
      </x:c>
    </x:row>
    <x:row r="137" ht="15" hidden="0" customHeight="1">
      <x:c r="A137" s="5" t="str">
        <x:v>O136</x:v>
      </x:c>
      <x:c r="B137" s="5" t="str">
        <x:v>CF027</x:v>
      </x:c>
      <x:c r="C137" s="5" t="str">
        <x:v>supplier_boiling_point</x:v>
      </x:c>
      <x:c r="D137" s="5" t="str">
        <x:v>56-57 °C (lit.)</x:v>
      </x:c>
      <x:c r="E137" s="5"/>
      <x:c r="F137" s="10"/>
      <x:c r="G137" s="10"/>
      <x:c r="H137" s="10"/>
      <x:c r="I137" s="5" t="str">
        <x:v>EQ</x:v>
      </x:c>
      <x:c r="J137" s="10"/>
      <x:c r="K137" s="10"/>
      <x:c r="L137" s="5" t="str">
        <x:v>supplier literature/reference value</x:v>
      </x:c>
      <x:c r="M137" s="5"/>
      <x:c r="N137" s="5" t="str">
        <x:v>Pressure is not inferred from an unqualified supplier boiling point.</x:v>
      </x:c>
      <x:c r="O137" s="5" t="str">
        <x:v>CF027_supplier</x:v>
      </x:c>
      <x:c r="P137" s="5" t="str">
        <x:v>https://www.sigmaaldrich.com/US/en/product/aldrich/271357</x:v>
      </x:c>
      <x:c r="Q137" s="17" t="n">
        <x:v>46294</x:v>
      </x:c>
    </x:row>
    <x:row r="138" ht="24" hidden="0" customHeight="1">
      <x:c r="A138" s="5" t="str">
        <x:v>O137</x:v>
      </x:c>
      <x:c r="B138" s="5" t="str">
        <x:v>CF027</x:v>
      </x:c>
      <x:c r="C138" s="5" t="str">
        <x:v>hazard_classification</x:v>
      </x:c>
      <x:c r="D138" s="5" t="str">
        <x:v>Eye Irrit. 2 - Flam. Liq. 2 - Skin Irrit. 2 - STOT SE 3</x:v>
      </x:c>
      <x:c r="E138" s="5"/>
      <x:c r="F138" s="10"/>
      <x:c r="G138" s="10"/>
      <x:c r="H138" s="10"/>
      <x:c r="I138" s="5" t="str">
        <x:v>EQ</x:v>
      </x:c>
      <x:c r="J138" s="10"/>
      <x:c r="K138" s="10"/>
      <x:c r="L138" s="5"/>
      <x:c r="M138" s="5"/>
      <x:c r="N138" s="5"/>
      <x:c r="O138" s="5" t="str">
        <x:v>CF027_supplier</x:v>
      </x:c>
      <x:c r="P138" s="5" t="str">
        <x:v>https://www.sigmaaldrich.com/US/en/product/aldrich/271357</x:v>
      </x:c>
      <x:c r="Q138" s="17" t="n">
        <x:v>46294</x:v>
      </x:c>
    </x:row>
    <x:row r="139" ht="15" hidden="0" customHeight="1">
      <x:c r="A139" s="5" t="str">
        <x:v>O138</x:v>
      </x:c>
      <x:c r="B139" s="5" t="str">
        <x:v>CF027</x:v>
      </x:c>
      <x:c r="C139" s="5" t="str">
        <x:v>hazard_codes</x:v>
      </x:c>
      <x:c r="D139" s="5" t="str">
        <x:v>H225, H315, H319, H335</x:v>
      </x:c>
      <x:c r="E139" s="5"/>
      <x:c r="F139" s="10"/>
      <x:c r="G139" s="10"/>
      <x:c r="H139" s="10"/>
      <x:c r="I139" s="5" t="str">
        <x:v>EQ</x:v>
      </x:c>
      <x:c r="J139" s="10"/>
      <x:c r="K139" s="10"/>
      <x:c r="L139" s="5"/>
      <x:c r="M139" s="5"/>
      <x:c r="N139" s="5"/>
      <x:c r="O139" s="5" t="str">
        <x:v>CF027_supplier</x:v>
      </x:c>
      <x:c r="P139" s="5" t="str">
        <x:v>https://www.sigmaaldrich.com/US/en/product/aldrich/271357</x:v>
      </x:c>
      <x:c r="Q139" s="17" t="n">
        <x:v>46294</x:v>
      </x:c>
    </x:row>
    <x:row r="140" ht="24" hidden="0" customHeight="1">
      <x:c r="A140" s="5" t="str">
        <x:v>O139</x:v>
      </x:c>
      <x:c r="B140" s="5" t="str">
        <x:v>CF028</x:v>
      </x:c>
      <x:c r="C140" s="5" t="str">
        <x:v>normal_boiling_point</x:v>
      </x:c>
      <x:c r="D140" s="5" t="str">
        <x:v>329.0 ± 0.6 K</x:v>
      </x:c>
      <x:c r="E140" s="5" t="str">
        <x:v>K</x:v>
      </x:c>
      <x:c r="F140" s="10" t="n">
        <x:v>328.4</x:v>
      </x:c>
      <x:c r="G140" s="10" t="n">
        <x:v>329.6</x:v>
      </x:c>
      <x:c r="H140" s="10" t="n">
        <x:v>0.6</x:v>
      </x:c>
      <x:c r="I140" s="5" t="str">
        <x:v>EQ</x:v>
      </x:c>
      <x:c r="J140" s="10" t="n">
        <x:v>55.25</x:v>
      </x:c>
      <x:c r="K140" s="10" t="n">
        <x:v>56.45</x:v>
      </x:c>
      <x:c r="L140" s="5" t="str">
        <x:v>NIST Tboil compilation</x:v>
      </x:c>
      <x:c r="M140" s="5" t="str">
        <x:v>101.325 kPa; normal convention, not separately reported</x:v>
      </x:c>
      <x:c r="N140" s="5" t="str">
        <x:v>Reported compilation spread/TRC uncertainty retained as a conservative screening envelope, not a confidence interval or measurement precision. NIST AVG compilation.</x:v>
      </x:c>
      <x:c r="O140" s="5" t="str">
        <x:v>CF028_nist</x:v>
      </x:c>
      <x:c r="P140" s="5" t="str">
        <x:v>https://webbook.nist.gov/cgi/cbook.cgi?ID=C563780&amp;Mask=4</x:v>
      </x:c>
      <x:c r="Q140" s="17" t="n">
        <x:v>46294</x:v>
      </x:c>
    </x:row>
    <x:row r="141" ht="15" hidden="0" customHeight="1">
      <x:c r="A141" s="5" t="str">
        <x:v>O140</x:v>
      </x:c>
      <x:c r="B141" s="5" t="str">
        <x:v>CF028</x:v>
      </x:c>
      <x:c r="C141" s="5" t="str">
        <x:v>flash_point</x:v>
      </x:c>
      <x:c r="D141" s="5" t="str">
        <x:v>-18 °C - closed cup</x:v>
      </x:c>
      <x:c r="E141" s="5" t="str">
        <x:v>degC</x:v>
      </x:c>
      <x:c r="F141" s="10" t="n">
        <x:v>-18</x:v>
      </x:c>
      <x:c r="G141" s="10" t="n">
        <x:v>-18</x:v>
      </x:c>
      <x:c r="H141" s="10"/>
      <x:c r="I141" s="5" t="str">
        <x:v>EQ</x:v>
      </x:c>
      <x:c r="J141" s="10" t="n">
        <x:v>-18</x:v>
      </x:c>
      <x:c r="K141" s="10" t="n">
        <x:v>-18</x:v>
      </x:c>
      <x:c r="L141" s="5" t="str">
        <x:v>closed cup; test standard not specified</x:v>
      </x:c>
      <x:c r="M141" s="5"/>
      <x:c r="N141" s="5" t="str">
        <x:v>Supplier-reported product value; specimen and test report not obtained.</x:v>
      </x:c>
      <x:c r="O141" s="5" t="str">
        <x:v>CF028_supplier</x:v>
      </x:c>
      <x:c r="P141" s="5" t="str">
        <x:v>https://www.sigmaaldrich.com/US/en/product/aldrich/190403</x:v>
      </x:c>
      <x:c r="Q141" s="17" t="n">
        <x:v>46294</x:v>
      </x:c>
    </x:row>
    <x:row r="142" ht="15" hidden="0" customHeight="1">
      <x:c r="A142" s="5" t="str">
        <x:v>O141</x:v>
      </x:c>
      <x:c r="B142" s="5" t="str">
        <x:v>CF028</x:v>
      </x:c>
      <x:c r="C142" s="5" t="str">
        <x:v>supplier_boiling_point</x:v>
      </x:c>
      <x:c r="D142" s="5" t="str">
        <x:v>56 °C (lit.)</x:v>
      </x:c>
      <x:c r="E142" s="5"/>
      <x:c r="F142" s="10"/>
      <x:c r="G142" s="10"/>
      <x:c r="H142" s="10"/>
      <x:c r="I142" s="5" t="str">
        <x:v>EQ</x:v>
      </x:c>
      <x:c r="J142" s="10"/>
      <x:c r="K142" s="10"/>
      <x:c r="L142" s="5" t="str">
        <x:v>supplier literature/reference value</x:v>
      </x:c>
      <x:c r="M142" s="5"/>
      <x:c r="N142" s="5" t="str">
        <x:v>Pressure is not inferred from an unqualified supplier boiling point.</x:v>
      </x:c>
      <x:c r="O142" s="5" t="str">
        <x:v>CF028_supplier</x:v>
      </x:c>
      <x:c r="P142" s="5" t="str">
        <x:v>https://www.sigmaaldrich.com/US/en/product/aldrich/190403</x:v>
      </x:c>
      <x:c r="Q142" s="17" t="n">
        <x:v>46294</x:v>
      </x:c>
    </x:row>
    <x:row r="143" ht="15" hidden="0" customHeight="1">
      <x:c r="A143" s="5" t="str">
        <x:v>O142</x:v>
      </x:c>
      <x:c r="B143" s="5" t="str">
        <x:v>CF028</x:v>
      </x:c>
      <x:c r="C143" s="5" t="str">
        <x:v>hazard_classification</x:v>
      </x:c>
      <x:c r="D143" s="5" t="str">
        <x:v>Asp. Tox. 1 - Flam. Liq. 2</x:v>
      </x:c>
      <x:c r="E143" s="5"/>
      <x:c r="F143" s="10"/>
      <x:c r="G143" s="10"/>
      <x:c r="H143" s="10"/>
      <x:c r="I143" s="5" t="str">
        <x:v>EQ</x:v>
      </x:c>
      <x:c r="J143" s="10"/>
      <x:c r="K143" s="10"/>
      <x:c r="L143" s="5"/>
      <x:c r="M143" s="5"/>
      <x:c r="N143" s="5"/>
      <x:c r="O143" s="5" t="str">
        <x:v>CF028_supplier</x:v>
      </x:c>
      <x:c r="P143" s="5" t="str">
        <x:v>https://www.sigmaaldrich.com/US/en/product/aldrich/190403</x:v>
      </x:c>
      <x:c r="Q143" s="17" t="n">
        <x:v>46294</x:v>
      </x:c>
    </x:row>
    <x:row r="144" ht="15" hidden="0" customHeight="1">
      <x:c r="A144" s="5" t="str">
        <x:v>O143</x:v>
      </x:c>
      <x:c r="B144" s="5" t="str">
        <x:v>CF028</x:v>
      </x:c>
      <x:c r="C144" s="5" t="str">
        <x:v>hazard_codes</x:v>
      </x:c>
      <x:c r="D144" s="5" t="str">
        <x:v>H225, H304</x:v>
      </x:c>
      <x:c r="E144" s="5"/>
      <x:c r="F144" s="10"/>
      <x:c r="G144" s="10"/>
      <x:c r="H144" s="10"/>
      <x:c r="I144" s="5" t="str">
        <x:v>EQ</x:v>
      </x:c>
      <x:c r="J144" s="10"/>
      <x:c r="K144" s="10"/>
      <x:c r="L144" s="5"/>
      <x:c r="M144" s="5"/>
      <x:c r="N144" s="5"/>
      <x:c r="O144" s="5" t="str">
        <x:v>CF028_supplier</x:v>
      </x:c>
      <x:c r="P144" s="5" t="str">
        <x:v>https://www.sigmaaldrich.com/US/en/product/aldrich/190403</x:v>
      </x:c>
      <x:c r="Q144" s="17" t="n">
        <x:v>46294</x:v>
      </x:c>
    </x:row>
    <x:row r="145" ht="24" hidden="0" customHeight="1">
      <x:c r="A145" s="5" t="str">
        <x:v>O144</x:v>
      </x:c>
      <x:c r="B145" s="5" t="str">
        <x:v>CF029</x:v>
      </x:c>
      <x:c r="C145" s="5" t="str">
        <x:v>normal_boiling_point</x:v>
      </x:c>
      <x:c r="D145" s="5" t="str">
        <x:v>330.5 ± 0.5 K</x:v>
      </x:c>
      <x:c r="E145" s="5" t="str">
        <x:v>K</x:v>
      </x:c>
      <x:c r="F145" s="10" t="n">
        <x:v>330</x:v>
      </x:c>
      <x:c r="G145" s="10" t="n">
        <x:v>331</x:v>
      </x:c>
      <x:c r="H145" s="10" t="n">
        <x:v>0.5</x:v>
      </x:c>
      <x:c r="I145" s="5" t="str">
        <x:v>EQ</x:v>
      </x:c>
      <x:c r="J145" s="10" t="n">
        <x:v>56.85</x:v>
      </x:c>
      <x:c r="K145" s="10" t="n">
        <x:v>57.85</x:v>
      </x:c>
      <x:c r="L145" s="5" t="str">
        <x:v>NIST Tboil compilation</x:v>
      </x:c>
      <x:c r="M145" s="5" t="str">
        <x:v>101.325 kPa; normal convention, not separately reported</x:v>
      </x:c>
      <x:c r="N145" s="5" t="str">
        <x:v>Reported compilation spread/TRC uncertainty retained as a conservative screening envelope, not a confidence interval or measurement precision. NIST AVG compilation.</x:v>
      </x:c>
      <x:c r="O145" s="5" t="str">
        <x:v>CF029_nist</x:v>
      </x:c>
      <x:c r="P145" s="5" t="str">
        <x:v>https://webbook.nist.gov/cgi/cbook.cgi?ID=C75343&amp;Mask=4</x:v>
      </x:c>
      <x:c r="Q145" s="17" t="n">
        <x:v>46294</x:v>
      </x:c>
    </x:row>
    <x:row r="146" ht="15" hidden="0" customHeight="1">
      <x:c r="A146" s="5" t="str">
        <x:v>O145</x:v>
      </x:c>
      <x:c r="B146" s="5" t="str">
        <x:v>CF029</x:v>
      </x:c>
      <x:c r="C146" s="5" t="str">
        <x:v>flash_point</x:v>
      </x:c>
      <x:c r="D146" s="5" t="str">
        <x:v>-10.0 °C - closed cup</x:v>
      </x:c>
      <x:c r="E146" s="5" t="str">
        <x:v>degC</x:v>
      </x:c>
      <x:c r="F146" s="10" t="n">
        <x:v>-10</x:v>
      </x:c>
      <x:c r="G146" s="10" t="n">
        <x:v>-10</x:v>
      </x:c>
      <x:c r="H146" s="10"/>
      <x:c r="I146" s="5" t="str">
        <x:v>EQ</x:v>
      </x:c>
      <x:c r="J146" s="10" t="n">
        <x:v>-10</x:v>
      </x:c>
      <x:c r="K146" s="10" t="n">
        <x:v>-10</x:v>
      </x:c>
      <x:c r="L146" s="5" t="str">
        <x:v>closed cup; test standard not specified</x:v>
      </x:c>
      <x:c r="M146" s="5"/>
      <x:c r="N146" s="5" t="str">
        <x:v>Supplier-reported product value; specimen and test report not obtained.</x:v>
      </x:c>
      <x:c r="O146" s="5" t="str">
        <x:v>CF029_supplier</x:v>
      </x:c>
      <x:c r="P146" s="5" t="str">
        <x:v>https://www.sigmaaldrich.com/US/en/product/sial/36967</x:v>
      </x:c>
      <x:c r="Q146" s="17" t="n">
        <x:v>46294</x:v>
      </x:c>
    </x:row>
    <x:row r="147" ht="24" hidden="0" customHeight="1">
      <x:c r="A147" s="5" t="str">
        <x:v>O146</x:v>
      </x:c>
      <x:c r="B147" s="5" t="str">
        <x:v>CF029</x:v>
      </x:c>
      <x:c r="C147" s="5" t="str">
        <x:v>hazard_classification</x:v>
      </x:c>
      <x:c r="D147" s="5" t="str">
        <x:v>Acute Tox. 4 Oral - Aquatic Chronic 3 - Eye Irrit. 2 - Flam. Liq. 2 - STOT SE 3</x:v>
      </x:c>
      <x:c r="E147" s="5"/>
      <x:c r="F147" s="10"/>
      <x:c r="G147" s="10"/>
      <x:c r="H147" s="10"/>
      <x:c r="I147" s="5" t="str">
        <x:v>EQ</x:v>
      </x:c>
      <x:c r="J147" s="10"/>
      <x:c r="K147" s="10"/>
      <x:c r="L147" s="5"/>
      <x:c r="M147" s="5"/>
      <x:c r="N147" s="5"/>
      <x:c r="O147" s="5" t="str">
        <x:v>CF029_supplier</x:v>
      </x:c>
      <x:c r="P147" s="5" t="str">
        <x:v>https://www.sigmaaldrich.com/US/en/product/sial/36967</x:v>
      </x:c>
      <x:c r="Q147" s="17" t="n">
        <x:v>46294</x:v>
      </x:c>
    </x:row>
    <x:row r="148" ht="15" hidden="0" customHeight="1">
      <x:c r="A148" s="5" t="str">
        <x:v>O147</x:v>
      </x:c>
      <x:c r="B148" s="5" t="str">
        <x:v>CF029</x:v>
      </x:c>
      <x:c r="C148" s="5" t="str">
        <x:v>hazard_codes</x:v>
      </x:c>
      <x:c r="D148" s="5" t="str">
        <x:v>H225, H302, H319, H335, H412</x:v>
      </x:c>
      <x:c r="E148" s="5"/>
      <x:c r="F148" s="10"/>
      <x:c r="G148" s="10"/>
      <x:c r="H148" s="10"/>
      <x:c r="I148" s="5" t="str">
        <x:v>EQ</x:v>
      </x:c>
      <x:c r="J148" s="10"/>
      <x:c r="K148" s="10"/>
      <x:c r="L148" s="5"/>
      <x:c r="M148" s="5"/>
      <x:c r="N148" s="5"/>
      <x:c r="O148" s="5" t="str">
        <x:v>CF029_supplier</x:v>
      </x:c>
      <x:c r="P148" s="5" t="str">
        <x:v>https://www.sigmaaldrich.com/US/en/product/sial/36967</x:v>
      </x:c>
      <x:c r="Q148" s="17" t="n">
        <x:v>46294</x:v>
      </x:c>
    </x:row>
    <x:row r="149" ht="24" hidden="0" customHeight="1">
      <x:c r="A149" s="5" t="str">
        <x:v>O148</x:v>
      </x:c>
      <x:c r="B149" s="5" t="str">
        <x:v>CF030</x:v>
      </x:c>
      <x:c r="C149" s="5" t="str">
        <x:v>normal_boiling_point</x:v>
      </x:c>
      <x:c r="D149" s="5" t="str">
        <x:v>313. ± 1. K</x:v>
      </x:c>
      <x:c r="E149" s="5" t="str">
        <x:v>K</x:v>
      </x:c>
      <x:c r="F149" s="10" t="n">
        <x:v>312</x:v>
      </x:c>
      <x:c r="G149" s="10" t="n">
        <x:v>314</x:v>
      </x:c>
      <x:c r="H149" s="10" t="n">
        <x:v>1</x:v>
      </x:c>
      <x:c r="I149" s="5" t="str">
        <x:v>EQ</x:v>
      </x:c>
      <x:c r="J149" s="10" t="n">
        <x:v>38.85</x:v>
      </x:c>
      <x:c r="K149" s="10" t="n">
        <x:v>40.85</x:v>
      </x:c>
      <x:c r="L149" s="5" t="str">
        <x:v>NIST Tboil compilation</x:v>
      </x:c>
      <x:c r="M149" s="5" t="str">
        <x:v>101.325 kPa; normal convention, not separately reported</x:v>
      </x:c>
      <x:c r="N149" s="5" t="str">
        <x:v>Reported compilation spread/TRC uncertainty retained as a conservative screening envelope, not a confidence interval or measurement precision. NIST AVG compilation.</x:v>
      </x:c>
      <x:c r="O149" s="5" t="str">
        <x:v>CF030_nist</x:v>
      </x:c>
      <x:c r="P149" s="5" t="str">
        <x:v>https://webbook.nist.gov/cgi/cbook.cgi?ID=C75092&amp;Mask=4</x:v>
      </x:c>
      <x:c r="Q149" s="17" t="n">
        <x:v>46294</x:v>
      </x:c>
    </x:row>
    <x:row r="150" ht="15" hidden="0" customHeight="1">
      <x:c r="A150" s="5" t="str">
        <x:v>O149</x:v>
      </x:c>
      <x:c r="B150" s="5" t="str">
        <x:v>CF030</x:v>
      </x:c>
      <x:c r="C150" s="5" t="str">
        <x:v>government_boiling_point</x:v>
      </x:c>
      <x:c r="D150" s="5" t="str">
        <x:v>104°F</x:v>
      </x:c>
      <x:c r="E150" s="5"/>
      <x:c r="F150" s="10"/>
      <x:c r="G150" s="10"/>
      <x:c r="H150" s="10"/>
      <x:c r="I150" s="5" t="str">
        <x:v>EQ</x:v>
      </x:c>
      <x:c r="J150" s="10"/>
      <x:c r="K150" s="10"/>
      <x:c r="L150" s="5" t="str">
        <x:v>NIOSH reference value</x:v>
      </x:c>
      <x:c r="M150" s="5"/>
      <x:c r="N150" s="5" t="str">
        <x:v>Corroborating value; NIST envelope remains the declared screen.</x:v>
      </x:c>
      <x:c r="O150" s="5" t="str">
        <x:v>CF030_niosh</x:v>
      </x:c>
      <x:c r="P150" s="5" t="str">
        <x:v>https://www.cdc.gov/niosh/npg/npgd0414.html</x:v>
      </x:c>
      <x:c r="Q150" s="17" t="n">
        <x:v>46294</x:v>
      </x:c>
    </x:row>
    <x:row r="151" ht="15" hidden="0" customHeight="1">
      <x:c r="A151" s="5" t="str">
        <x:v>O150</x:v>
      </x:c>
      <x:c r="B151" s="5" t="str">
        <x:v>CF030</x:v>
      </x:c>
      <x:c r="C151" s="5" t="str">
        <x:v>flash_point</x:v>
      </x:c>
      <x:c r="D151" s="5" t="str">
        <x:v>?</x:v>
      </x:c>
      <x:c r="E151" s="5"/>
      <x:c r="F151" s="10"/>
      <x:c r="G151" s="10"/>
      <x:c r="H151" s="10"/>
      <x:c r="I151" s="5" t="str">
        <x:v>EQ</x:v>
      </x:c>
      <x:c r="J151" s="10"/>
      <x:c r="K151" s="10"/>
      <x:c r="L151" s="5"/>
      <x:c r="M151" s="5"/>
      <x:c r="N151" s="5" t="str">
        <x:v>Missing/unspecified is not a finding of no flash point.</x:v>
      </x:c>
      <x:c r="O151" s="5" t="str">
        <x:v>CF030_niosh</x:v>
      </x:c>
      <x:c r="P151" s="5" t="str">
        <x:v>https://www.cdc.gov/niosh/npg/npgd0414.html</x:v>
      </x:c>
      <x:c r="Q151" s="17" t="n">
        <x:v>46294</x:v>
      </x:c>
    </x:row>
    <x:row r="152" ht="24" hidden="0" customHeight="1">
      <x:c r="A152" s="5" t="str">
        <x:v>O151</x:v>
      </x:c>
      <x:c r="B152" s="5" t="str">
        <x:v>CF031</x:v>
      </x:c>
      <x:c r="C152" s="5" t="str">
        <x:v>normal_boiling_point</x:v>
      </x:c>
      <x:c r="D152" s="5" t="str">
        <x:v>333.5 K</x:v>
      </x:c>
      <x:c r="E152" s="5" t="str">
        <x:v>K</x:v>
      </x:c>
      <x:c r="F152" s="10" t="n">
        <x:v>333.5</x:v>
      </x:c>
      <x:c r="G152" s="10" t="n">
        <x:v>333.5</x:v>
      </x:c>
      <x:c r="H152" s="10"/>
      <x:c r="I152" s="5" t="str">
        <x:v>EQ</x:v>
      </x:c>
      <x:c r="J152" s="10" t="n">
        <x:v>60.35</x:v>
      </x:c>
      <x:c r="K152" s="10" t="n">
        <x:v>60.35</x:v>
      </x:c>
      <x:c r="L152" s="5" t="str">
        <x:v>NIST Tboil compilation</x:v>
      </x:c>
      <x:c r="M152" s="5" t="str">
        <x:v>101.325 kPa; normal convention, not separately reported</x:v>
      </x:c>
      <x:c r="N152" s="5" t="str">
        <x:v>Reported compilation spread/TRC uncertainty retained as a conservative screening envelope, not a confidence interval or measurement precision. Individually listed reference value.</x:v>
      </x:c>
      <x:c r="O152" s="5" t="str">
        <x:v>CF031_nist</x:v>
      </x:c>
      <x:c r="P152" s="5" t="str">
        <x:v>https://webbook.nist.gov/cgi/cbook.cgi?ID=C156592&amp;Mask=4</x:v>
      </x:c>
      <x:c r="Q152" s="17" t="n">
        <x:v>46294</x:v>
      </x:c>
    </x:row>
    <x:row r="153" ht="24" hidden="0" customHeight="1">
      <x:c r="A153" s="5" t="str">
        <x:v>O152</x:v>
      </x:c>
      <x:c r="B153" s="5" t="str">
        <x:v>CF031</x:v>
      </x:c>
      <x:c r="C153" s="5" t="str">
        <x:v>normal_boiling_point</x:v>
      </x:c>
      <x:c r="D153" s="5" t="str">
        <x:v>333.5 K; TRC uncertainty 0.4 K</x:v>
      </x:c>
      <x:c r="E153" s="5" t="str">
        <x:v>K</x:v>
      </x:c>
      <x:c r="F153" s="10" t="n">
        <x:v>333.1</x:v>
      </x:c>
      <x:c r="G153" s="10" t="n">
        <x:v>333.9</x:v>
      </x:c>
      <x:c r="H153" s="10" t="n">
        <x:v>0.4</x:v>
      </x:c>
      <x:c r="I153" s="5" t="str">
        <x:v>EQ</x:v>
      </x:c>
      <x:c r="J153" s="10" t="n">
        <x:v>59.95</x:v>
      </x:c>
      <x:c r="K153" s="10" t="n">
        <x:v>60.75</x:v>
      </x:c>
      <x:c r="L153" s="5" t="str">
        <x:v>NIST Tboil compilation</x:v>
      </x:c>
      <x:c r="M153" s="5" t="str">
        <x:v>101.325 kPa; normal convention, not separately reported</x:v>
      </x:c>
      <x:c r="N153" s="5" t="str">
        <x:v>Reported compilation spread/TRC uncertainty retained as a conservative screening envelope, not a confidence interval or measurement precision. Individually listed reference value.</x:v>
      </x:c>
      <x:c r="O153" s="5" t="str">
        <x:v>CF031_nist</x:v>
      </x:c>
      <x:c r="P153" s="5" t="str">
        <x:v>https://webbook.nist.gov/cgi/cbook.cgi?ID=C156592&amp;Mask=4</x:v>
      </x:c>
      <x:c r="Q153" s="17" t="n">
        <x:v>46294</x:v>
      </x:c>
    </x:row>
    <x:row r="154" ht="24" hidden="0" customHeight="1">
      <x:c r="A154" s="5" t="str">
        <x:v>O153</x:v>
      </x:c>
      <x:c r="B154" s="5" t="str">
        <x:v>CF031</x:v>
      </x:c>
      <x:c r="C154" s="5" t="str">
        <x:v>normal_boiling_point</x:v>
      </x:c>
      <x:c r="D154" s="5" t="str">
        <x:v>333.2 K; TRC uncertainty 0.6 K</x:v>
      </x:c>
      <x:c r="E154" s="5" t="str">
        <x:v>K</x:v>
      </x:c>
      <x:c r="F154" s="10" t="n">
        <x:v>332.59999999999997</x:v>
      </x:c>
      <x:c r="G154" s="10" t="n">
        <x:v>333.8</x:v>
      </x:c>
      <x:c r="H154" s="10" t="n">
        <x:v>0.6</x:v>
      </x:c>
      <x:c r="I154" s="5" t="str">
        <x:v>EQ</x:v>
      </x:c>
      <x:c r="J154" s="10" t="n">
        <x:v>59.45</x:v>
      </x:c>
      <x:c r="K154" s="10" t="n">
        <x:v>60.65</x:v>
      </x:c>
      <x:c r="L154" s="5" t="str">
        <x:v>NIST Tboil compilation</x:v>
      </x:c>
      <x:c r="M154" s="5" t="str">
        <x:v>101.325 kPa; normal convention, not separately reported</x:v>
      </x:c>
      <x:c r="N154" s="5" t="str">
        <x:v>Reported compilation spread/TRC uncertainty retained as a conservative screening envelope, not a confidence interval or measurement precision. Individually listed reference value.</x:v>
      </x:c>
      <x:c r="O154" s="5" t="str">
        <x:v>CF031_nist</x:v>
      </x:c>
      <x:c r="P154" s="5" t="str">
        <x:v>https://webbook.nist.gov/cgi/cbook.cgi?ID=C156592&amp;Mask=4</x:v>
      </x:c>
      <x:c r="Q154" s="17" t="n">
        <x:v>46294</x:v>
      </x:c>
    </x:row>
    <x:row r="155" ht="24" hidden="0" customHeight="1">
      <x:c r="A155" s="5" t="str">
        <x:v>O154</x:v>
      </x:c>
      <x:c r="B155" s="5" t="str">
        <x:v>CF031</x:v>
      </x:c>
      <x:c r="C155" s="5" t="str">
        <x:v>normal_boiling_point</x:v>
      </x:c>
      <x:c r="D155" s="5" t="str">
        <x:v>333.5 K; TRC uncertainty 0.3 K</x:v>
      </x:c>
      <x:c r="E155" s="5" t="str">
        <x:v>K</x:v>
      </x:c>
      <x:c r="F155" s="10" t="n">
        <x:v>333.2</x:v>
      </x:c>
      <x:c r="G155" s="10" t="n">
        <x:v>333.8</x:v>
      </x:c>
      <x:c r="H155" s="10" t="n">
        <x:v>0.3</x:v>
      </x:c>
      <x:c r="I155" s="5" t="str">
        <x:v>EQ</x:v>
      </x:c>
      <x:c r="J155" s="10" t="n">
        <x:v>60.05</x:v>
      </x:c>
      <x:c r="K155" s="10" t="n">
        <x:v>60.65</x:v>
      </x:c>
      <x:c r="L155" s="5" t="str">
        <x:v>NIST Tboil compilation</x:v>
      </x:c>
      <x:c r="M155" s="5" t="str">
        <x:v>101.325 kPa; normal convention, not separately reported</x:v>
      </x:c>
      <x:c r="N155" s="5" t="str">
        <x:v>Reported compilation spread/TRC uncertainty retained as a conservative screening envelope, not a confidence interval or measurement precision. Individually listed reference value.</x:v>
      </x:c>
      <x:c r="O155" s="5" t="str">
        <x:v>CF031_nist</x:v>
      </x:c>
      <x:c r="P155" s="5" t="str">
        <x:v>https://webbook.nist.gov/cgi/cbook.cgi?ID=C156592&amp;Mask=4</x:v>
      </x:c>
      <x:c r="Q155" s="17" t="n">
        <x:v>46294</x:v>
      </x:c>
    </x:row>
    <x:row r="156" ht="24" hidden="0" customHeight="1">
      <x:c r="A156" s="5" t="str">
        <x:v>O155</x:v>
      </x:c>
      <x:c r="B156" s="5" t="str">
        <x:v>CF031</x:v>
      </x:c>
      <x:c r="C156" s="5" t="str">
        <x:v>normal_boiling_point</x:v>
      </x:c>
      <x:c r="D156" s="5" t="str">
        <x:v>333.0 K; TRC uncertainty 2. K</x:v>
      </x:c>
      <x:c r="E156" s="5" t="str">
        <x:v>K</x:v>
      </x:c>
      <x:c r="F156" s="10" t="n">
        <x:v>331</x:v>
      </x:c>
      <x:c r="G156" s="10" t="n">
        <x:v>335</x:v>
      </x:c>
      <x:c r="H156" s="10" t="n">
        <x:v>2</x:v>
      </x:c>
      <x:c r="I156" s="5" t="str">
        <x:v>EQ</x:v>
      </x:c>
      <x:c r="J156" s="10" t="n">
        <x:v>57.85</x:v>
      </x:c>
      <x:c r="K156" s="10" t="n">
        <x:v>61.85</x:v>
      </x:c>
      <x:c r="L156" s="5" t="str">
        <x:v>NIST Tboil compilation</x:v>
      </x:c>
      <x:c r="M156" s="5" t="str">
        <x:v>101.325 kPa; normal convention, not separately reported</x:v>
      </x:c>
      <x:c r="N156" s="5" t="str">
        <x:v>Reported compilation spread/TRC uncertainty retained as a conservative screening envelope, not a confidence interval or measurement precision. Individually listed reference value.</x:v>
      </x:c>
      <x:c r="O156" s="5" t="str">
        <x:v>CF031_nist</x:v>
      </x:c>
      <x:c r="P156" s="5" t="str">
        <x:v>https://webbook.nist.gov/cgi/cbook.cgi?ID=C156592&amp;Mask=4</x:v>
      </x:c>
      <x:c r="Q156" s="17" t="n">
        <x:v>46294</x:v>
      </x:c>
    </x:row>
    <x:row r="157" ht="15" hidden="0" customHeight="1">
      <x:c r="A157" s="5" t="str">
        <x:v>O156</x:v>
      </x:c>
      <x:c r="B157" s="5" t="str">
        <x:v>CF031</x:v>
      </x:c>
      <x:c r="C157" s="5" t="str">
        <x:v>flash_point</x:v>
      </x:c>
      <x:c r="D157" s="5" t="str">
        <x:v>6.0 °C - closed cup</x:v>
      </x:c>
      <x:c r="E157" s="5" t="str">
        <x:v>degC</x:v>
      </x:c>
      <x:c r="F157" s="10" t="n">
        <x:v>6</x:v>
      </x:c>
      <x:c r="G157" s="10" t="n">
        <x:v>6</x:v>
      </x:c>
      <x:c r="H157" s="10"/>
      <x:c r="I157" s="5" t="str">
        <x:v>EQ</x:v>
      </x:c>
      <x:c r="J157" s="10" t="n">
        <x:v>6</x:v>
      </x:c>
      <x:c r="K157" s="10" t="n">
        <x:v>6</x:v>
      </x:c>
      <x:c r="L157" s="5" t="str">
        <x:v>closed cup; test standard not specified</x:v>
      </x:c>
      <x:c r="M157" s="5"/>
      <x:c r="N157" s="5" t="str">
        <x:v>Supplier-reported product value; specimen and test report not obtained.</x:v>
      </x:c>
      <x:c r="O157" s="5" t="str">
        <x:v>CF031_supplier</x:v>
      </x:c>
      <x:c r="P157" s="5" t="str">
        <x:v>https://www.sigmaaldrich.com/CL/en/product/supelco/48597</x:v>
      </x:c>
      <x:c r="Q157" s="17" t="n">
        <x:v>46294</x:v>
      </x:c>
    </x:row>
    <x:row r="158" ht="15" hidden="0" customHeight="1">
      <x:c r="A158" s="5" t="str">
        <x:v>O157</x:v>
      </x:c>
      <x:c r="B158" s="5" t="str">
        <x:v>CF031</x:v>
      </x:c>
      <x:c r="C158" s="5" t="str">
        <x:v>supplier_boiling_point</x:v>
      </x:c>
      <x:c r="D158" s="5" t="str">
        <x:v>60 °C (lit.)</x:v>
      </x:c>
      <x:c r="E158" s="5"/>
      <x:c r="F158" s="10"/>
      <x:c r="G158" s="10"/>
      <x:c r="H158" s="10"/>
      <x:c r="I158" s="5" t="str">
        <x:v>EQ</x:v>
      </x:c>
      <x:c r="J158" s="10"/>
      <x:c r="K158" s="10"/>
      <x:c r="L158" s="5" t="str">
        <x:v>supplier literature/reference value</x:v>
      </x:c>
      <x:c r="M158" s="5"/>
      <x:c r="N158" s="5" t="str">
        <x:v>Pressure is not inferred from an unqualified supplier boiling point.</x:v>
      </x:c>
      <x:c r="O158" s="5" t="str">
        <x:v>CF031_supplier</x:v>
      </x:c>
      <x:c r="P158" s="5" t="str">
        <x:v>https://www.sigmaaldrich.com/CL/en/product/supelco/48597</x:v>
      </x:c>
      <x:c r="Q158" s="17" t="n">
        <x:v>46294</x:v>
      </x:c>
    </x:row>
    <x:row r="159" ht="24" hidden="0" customHeight="1">
      <x:c r="A159" s="5" t="str">
        <x:v>O158</x:v>
      </x:c>
      <x:c r="B159" s="5" t="str">
        <x:v>CF031</x:v>
      </x:c>
      <x:c r="C159" s="5" t="str">
        <x:v>hazard_classification</x:v>
      </x:c>
      <x:c r="D159" s="5" t="str">
        <x:v>Acute Tox. 4 Inhalation - Acute Tox. 4 Oral - Aquatic Chronic 3 - Flam. Liq. 2 - Skin Irrit. 2</x:v>
      </x:c>
      <x:c r="E159" s="5"/>
      <x:c r="F159" s="10"/>
      <x:c r="G159" s="10"/>
      <x:c r="H159" s="10"/>
      <x:c r="I159" s="5" t="str">
        <x:v>EQ</x:v>
      </x:c>
      <x:c r="J159" s="10"/>
      <x:c r="K159" s="10"/>
      <x:c r="L159" s="5"/>
      <x:c r="M159" s="5"/>
      <x:c r="N159" s="5"/>
      <x:c r="O159" s="5" t="str">
        <x:v>CF031_supplier</x:v>
      </x:c>
      <x:c r="P159" s="5" t="str">
        <x:v>https://www.sigmaaldrich.com/CL/en/product/supelco/48597</x:v>
      </x:c>
      <x:c r="Q159" s="17" t="n">
        <x:v>46294</x:v>
      </x:c>
    </x:row>
    <x:row r="160" ht="15" hidden="0" customHeight="1">
      <x:c r="A160" s="5" t="str">
        <x:v>O159</x:v>
      </x:c>
      <x:c r="B160" s="5" t="str">
        <x:v>CF031</x:v>
      </x:c>
      <x:c r="C160" s="5" t="str">
        <x:v>hazard_codes</x:v>
      </x:c>
      <x:c r="D160" s="5" t="str">
        <x:v>H225, H302, H315, H332, H412</x:v>
      </x:c>
      <x:c r="E160" s="5"/>
      <x:c r="F160" s="10"/>
      <x:c r="G160" s="10"/>
      <x:c r="H160" s="10"/>
      <x:c r="I160" s="5" t="str">
        <x:v>EQ</x:v>
      </x:c>
      <x:c r="J160" s="10"/>
      <x:c r="K160" s="10"/>
      <x:c r="L160" s="5"/>
      <x:c r="M160" s="5"/>
      <x:c r="N160" s="5"/>
      <x:c r="O160" s="5" t="str">
        <x:v>CF031_supplier</x:v>
      </x:c>
      <x:c r="P160" s="5" t="str">
        <x:v>https://www.sigmaaldrich.com/CL/en/product/supelco/48597</x:v>
      </x:c>
      <x:c r="Q160" s="17" t="n">
        <x:v>46294</x:v>
      </x:c>
    </x:row>
    <x:row r="161" ht="24" hidden="0" customHeight="1">
      <x:c r="A161" s="5" t="str">
        <x:v>O160</x:v>
      </x:c>
      <x:c r="B161" s="5" t="str">
        <x:v>CF032</x:v>
      </x:c>
      <x:c r="C161" s="5" t="str">
        <x:v>normal_boiling_point</x:v>
      </x:c>
      <x:c r="D161" s="5" t="str">
        <x:v>331.2 ± 0.2 K</x:v>
      </x:c>
      <x:c r="E161" s="5" t="str">
        <x:v>K</x:v>
      </x:c>
      <x:c r="F161" s="10" t="n">
        <x:v>331</x:v>
      </x:c>
      <x:c r="G161" s="10" t="n">
        <x:v>331.4</x:v>
      </x:c>
      <x:c r="H161" s="10" t="n">
        <x:v>0.2</x:v>
      </x:c>
      <x:c r="I161" s="5" t="str">
        <x:v>EQ</x:v>
      </x:c>
      <x:c r="J161" s="10" t="n">
        <x:v>57.85</x:v>
      </x:c>
      <x:c r="K161" s="10" t="n">
        <x:v>58.25</x:v>
      </x:c>
      <x:c r="L161" s="5" t="str">
        <x:v>NIST Tboil compilation</x:v>
      </x:c>
      <x:c r="M161" s="5" t="str">
        <x:v>101.325 kPa; normal convention, not separately reported</x:v>
      </x:c>
      <x:c r="N161" s="5" t="str">
        <x:v>Reported compilation spread/TRC uncertainty retained as a conservative screening envelope, not a confidence interval or measurement precision. NIST AVG compilation.</x:v>
      </x:c>
      <x:c r="O161" s="5" t="str">
        <x:v>CF032_nist</x:v>
      </x:c>
      <x:c r="P161" s="5" t="str">
        <x:v>https://webbook.nist.gov/cgi/cbook.cgi?ID=C79298&amp;Mask=4</x:v>
      </x:c>
      <x:c r="Q161" s="17" t="n">
        <x:v>46294</x:v>
      </x:c>
    </x:row>
    <x:row r="162" ht="15" hidden="0" customHeight="1">
      <x:c r="A162" s="5" t="str">
        <x:v>O161</x:v>
      </x:c>
      <x:c r="B162" s="5" t="str">
        <x:v>CF032</x:v>
      </x:c>
      <x:c r="C162" s="5" t="str">
        <x:v>flash_point</x:v>
      </x:c>
      <x:c r="D162" s="5" t="str">
        <x:v>-29 °C - closed cup</x:v>
      </x:c>
      <x:c r="E162" s="5" t="str">
        <x:v>degC</x:v>
      </x:c>
      <x:c r="F162" s="10" t="n">
        <x:v>-29</x:v>
      </x:c>
      <x:c r="G162" s="10" t="n">
        <x:v>-29</x:v>
      </x:c>
      <x:c r="H162" s="10"/>
      <x:c r="I162" s="5" t="str">
        <x:v>EQ</x:v>
      </x:c>
      <x:c r="J162" s="10" t="n">
        <x:v>-29</x:v>
      </x:c>
      <x:c r="K162" s="10" t="n">
        <x:v>-29</x:v>
      </x:c>
      <x:c r="L162" s="5" t="str">
        <x:v>closed cup; test standard not specified</x:v>
      </x:c>
      <x:c r="M162" s="5"/>
      <x:c r="N162" s="5" t="str">
        <x:v>Supplier-reported product value; specimen and test report not obtained.</x:v>
      </x:c>
      <x:c r="O162" s="5" t="str">
        <x:v>CF032_supplier</x:v>
      </x:c>
      <x:c r="P162" s="5" t="str">
        <x:v>https://www.sigmaaldrich.com/US/en/product/aldrich/d151602</x:v>
      </x:c>
      <x:c r="Q162" s="17" t="n">
        <x:v>46294</x:v>
      </x:c>
    </x:row>
    <x:row r="163" ht="15" hidden="0" customHeight="1">
      <x:c r="A163" s="5" t="str">
        <x:v>O162</x:v>
      </x:c>
      <x:c r="B163" s="5" t="str">
        <x:v>CF032</x:v>
      </x:c>
      <x:c r="C163" s="5" t="str">
        <x:v>supplier_boiling_point</x:v>
      </x:c>
      <x:c r="D163" s="5" t="str">
        <x:v>58 °C (lit.)</x:v>
      </x:c>
      <x:c r="E163" s="5"/>
      <x:c r="F163" s="10"/>
      <x:c r="G163" s="10"/>
      <x:c r="H163" s="10"/>
      <x:c r="I163" s="5" t="str">
        <x:v>EQ</x:v>
      </x:c>
      <x:c r="J163" s="10"/>
      <x:c r="K163" s="10"/>
      <x:c r="L163" s="5" t="str">
        <x:v>supplier literature/reference value</x:v>
      </x:c>
      <x:c r="M163" s="5"/>
      <x:c r="N163" s="5" t="str">
        <x:v>Pressure is not inferred from an unqualified supplier boiling point.</x:v>
      </x:c>
      <x:c r="O163" s="5" t="str">
        <x:v>CF032_supplier</x:v>
      </x:c>
      <x:c r="P163" s="5" t="str">
        <x:v>https://www.sigmaaldrich.com/US/en/product/aldrich/d151602</x:v>
      </x:c>
      <x:c r="Q163" s="17" t="n">
        <x:v>46294</x:v>
      </x:c>
    </x:row>
    <x:row r="164" ht="24" hidden="0" customHeight="1">
      <x:c r="A164" s="5" t="str">
        <x:v>O163</x:v>
      </x:c>
      <x:c r="B164" s="5" t="str">
        <x:v>CF032</x:v>
      </x:c>
      <x:c r="C164" s="5" t="str">
        <x:v>hazard_classification</x:v>
      </x:c>
      <x:c r="D164" s="5" t="str">
        <x:v>Aquatic Chronic 2 - Asp. Tox. 1 - Flam. Liq. 2 - Skin Irrit. 2 - STOT SE 3</x:v>
      </x:c>
      <x:c r="E164" s="5"/>
      <x:c r="F164" s="10"/>
      <x:c r="G164" s="10"/>
      <x:c r="H164" s="10"/>
      <x:c r="I164" s="5" t="str">
        <x:v>EQ</x:v>
      </x:c>
      <x:c r="J164" s="10"/>
      <x:c r="K164" s="10"/>
      <x:c r="L164" s="5"/>
      <x:c r="M164" s="5"/>
      <x:c r="N164" s="5"/>
      <x:c r="O164" s="5" t="str">
        <x:v>CF032_supplier</x:v>
      </x:c>
      <x:c r="P164" s="5" t="str">
        <x:v>https://www.sigmaaldrich.com/US/en/product/aldrich/d151602</x:v>
      </x:c>
      <x:c r="Q164" s="17" t="n">
        <x:v>46294</x:v>
      </x:c>
    </x:row>
    <x:row r="165" ht="15" hidden="0" customHeight="1">
      <x:c r="A165" s="5" t="str">
        <x:v>O164</x:v>
      </x:c>
      <x:c r="B165" s="5" t="str">
        <x:v>CF032</x:v>
      </x:c>
      <x:c r="C165" s="5" t="str">
        <x:v>hazard_codes</x:v>
      </x:c>
      <x:c r="D165" s="5" t="str">
        <x:v>H225, H304, H315, H336, H411</x:v>
      </x:c>
      <x:c r="E165" s="5"/>
      <x:c r="F165" s="10"/>
      <x:c r="G165" s="10"/>
      <x:c r="H165" s="10"/>
      <x:c r="I165" s="5" t="str">
        <x:v>EQ</x:v>
      </x:c>
      <x:c r="J165" s="10"/>
      <x:c r="K165" s="10"/>
      <x:c r="L165" s="5"/>
      <x:c r="M165" s="5"/>
      <x:c r="N165" s="5"/>
      <x:c r="O165" s="5" t="str">
        <x:v>CF032_supplier</x:v>
      </x:c>
      <x:c r="P165" s="5" t="str">
        <x:v>https://www.sigmaaldrich.com/US/en/product/aldrich/d151602</x:v>
      </x:c>
      <x:c r="Q165" s="17" t="n">
        <x:v>46294</x:v>
      </x:c>
    </x:row>
  </x:sheetData>
  <x:pageMargins left="0.7" right="0.7" top="0.75" bottom="0.75" header="0.3" footer="0.3"/>
  <x:tableParts count="1">
    <x:tablePart xmlns:r="http://schemas.openxmlformats.org/officeDocument/2006/relationships" r:id="R265e52853dae4db8"/>
  </x:tableParts>
</x:worksheet>
</file>

<file path=xl/worksheets/sheet3.xml><?xml version="1.0" encoding="utf-8"?>
<x:worksheet xmlns:x="http://schemas.openxmlformats.org/spreadsheetml/2006/main">
  <x:sheetPr>
    <x:tabColor rgb="FF627D98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0.559999465942383" hidden="0" customWidth="1"/>
    <x:col min="2" max="2" width="28.329999923706055" hidden="0" customWidth="1"/>
    <x:col min="3" max="3" width="33.33000183105469" hidden="0" customWidth="1"/>
    <x:col min="4" max="4" width="33.33000183105469" hidden="0" customWidth="1"/>
    <x:col min="5" max="5" width="46.11000061035156" hidden="0" customWidth="1"/>
    <x:col min="6" max="6" width="22.780000686645508" hidden="0" customWidth="1"/>
    <x:col min="7" max="7" width="86.66999816894531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18" t="str">
        <x:v>Where the remaining evidence can come from</x:v>
      </x:c>
      <x:c r="B2" s="1"/>
      <x:c r="C2" s="1"/>
      <x:c r="D2" s="1"/>
      <x:c r="E2" s="1"/>
      <x:c r="F2" s="1"/>
      <x:c r="G2" s="1"/>
    </x:row>
    <x:row r="3">
      <x:c r="A3" s="19" t="str">
        <x:v>Wolfram function capabilities verified in documentation; candidate-level Wolfram queries have not been run.</x:v>
      </x:c>
      <x:c r="B3" s="19"/>
      <x:c r="C3" s="19"/>
      <x:c r="D3" s="19"/>
      <x:c r="E3" s="19"/>
      <x:c r="F3" s="19"/>
      <x:c r="G3" s="19"/>
    </x:row>
    <x:row r="4">
      <x:c r="A4" s="19" t="str">
        <x:v>NOT ASSESSED means not collected in this pass. It does not mean the data do not exist.</x:v>
      </x:c>
      <x:c r="B4" s="19"/>
      <x:c r="C4" s="19"/>
      <x:c r="D4" s="19"/>
      <x:c r="E4" s="19"/>
      <x:c r="F4" s="19"/>
      <x:c r="G4" s="19"/>
    </x:row>
    <x:row r="5">
      <x:c r="A5" s="1"/>
      <x:c r="B5" s="1"/>
      <x:c r="C5" s="1"/>
      <x:c r="D5" s="1"/>
      <x:c r="E5" s="1"/>
      <x:c r="F5" s="1"/>
      <x:c r="G5" s="1"/>
    </x:row>
    <x:row r="6" ht="34" customHeight="1">
      <x:c r="A6" s="16" t="str">
        <x:v>Property / question</x:v>
      </x:c>
      <x:c r="B6" s="16" t="str">
        <x:v>Current coverage</x:v>
      </x:c>
      <x:c r="C6" s="16" t="str">
        <x:v>Wolfram route</x:v>
      </x:c>
      <x:c r="D6" s="16" t="str">
        <x:v>Other source route</x:v>
      </x:c>
      <x:c r="E6" s="16" t="str">
        <x:v>What remains to establish</x:v>
      </x:c>
      <x:c r="F6" s="16" t="str">
        <x:v>Evidence type</x:v>
      </x:c>
      <x:c r="G6" s="16" t="str">
        <x:v>Source</x:v>
      </x:c>
    </x:row>
    <x:row r="7" ht="88" customHeight="1">
      <x:c r="A7" s="5" t="str">
        <x:v>Boiling point</x:v>
      </x:c>
      <x:c r="B7" s="5" t="str">
        <x:v>32/32 located; 11 boundary/conflict flags</x:v>
      </x:c>
      <x:c r="C7" s="5" t="str">
        <x:v>ChemicalData: BoilingPoint</x:v>
      </x:c>
      <x:c r="D7" s="5" t="str">
        <x:v>NIST individual reference values; manufacturer technical records</x:v>
      </x:c>
      <x:c r="E7" s="5" t="str">
        <x:v>Resolve pressure, isomer, purity and outliers; an additional database value is not independent validation.</x:v>
      </x:c>
      <x:c r="F7" s="5" t="str">
        <x:v>Literature / adjudication</x:v>
      </x:c>
      <x:c r="G7" s="5" t="str">
        <x:v>https://reference.wolfram.com/language/ref/ChemicalData.html</x:v>
      </x:c>
    </x:row>
    <x:row r="8" ht="88" customHeight="1">
      <x:c r="A8" s="5" t="str">
        <x:v>Flash point / fire class</x:v>
      </x:c>
      <x:c r="B8" s="5" t="str">
        <x:v>29/32 numerical reports; CF005/006/030 lack a numerical value</x:v>
      </x:c>
      <x:c r="C8" s="5" t="str">
        <x:v>Verify property coverage; do not assume ChemicalData exposes FlashPoint</x:v>
      </x:c>
      <x:c r="D8" s="5" t="str">
        <x:v>Manufacturer SDS; NIOSH; ECHA CHEM</x:v>
      </x:c>
      <x:c r="E8" s="5" t="str">
        <x:v>CF005 is outside the boiling window; CF006 is in range and unresolved; CF030 is outside and NIOSH shows an unspecified flash point.</x:v>
      </x:c>
      <x:c r="F8" s="5" t="str">
        <x:v>Literature / supplier method</x:v>
      </x:c>
      <x:c r="G8" s="5" t="str">
        <x:v>https://www.cdc.gov/niosh/npg/npgd0414.html</x:v>
      </x:c>
    </x:row>
    <x:row r="9" ht="88" customHeight="1">
      <x:c r="A9" s="5" t="str">
        <x:v>Vaporization enthalpy</x:v>
      </x:c>
      <x:c r="B9" s="5" t="str">
        <x:v>30/32 NIST records located; values not extracted</x:v>
      </x:c>
      <x:c r="C9" s="5" t="str">
        <x:v>ChemicalData: VaporizationHeat</x:v>
      </x:c>
      <x:c r="D9" s="5" t="str">
        <x:v>NIST WebBook; ThermoML; original papers</x:v>
      </x:c>
      <x:c r="E9" s="5" t="str">
        <x:v>Retrieve value and temperature together; a value at 298 K is not automatically the latent heat at the operating boiling point.</x:v>
      </x:c>
      <x:c r="F9" s="5" t="str">
        <x:v>Literature / condition-specific model</x:v>
      </x:c>
      <x:c r="G9" s="5" t="str">
        <x:v>https://webbook.nist.gov/chemistry/</x:v>
      </x:c>
    </x:row>
    <x:row r="10" ht="88" customHeight="1">
      <x:c r="A10" s="5" t="str">
        <x:v>Vapour pressure</x:v>
      </x:c>
      <x:c r="B10" s="5" t="str">
        <x:v>19/32 NIST Antoine sections; 11 cover full 45–55°C</x:v>
      </x:c>
      <x:c r="C10" s="5" t="str">
        <x:v>ChemicalData: VaporPressure; ThermodynamicData for supported fluids</x:v>
      </x:c>
      <x:c r="D10" s="5" t="str">
        <x:v>NIST Antoine correlations; CoolProp; REFPROP</x:v>
      </x:c>
      <x:c r="E10" s="5" t="str">
        <x:v>Respect fit temperature limits and units; do not extrapolate the 2,3-pentadiene fit to 50°C.</x:v>
      </x:c>
      <x:c r="F10" s="5" t="str">
        <x:v>Correlation; not a new measurement</x:v>
      </x:c>
      <x:c r="G10" s="5" t="str">
        <x:v>https://reference.wolfram.com/language/ref/ThermodynamicData.html</x:v>
      </x:c>
    </x:row>
    <x:row r="11" ht="88" customHeight="1">
      <x:c r="A11" s="5" t="str">
        <x:v>Density / heat capacity / viscosity / conductivity</x:v>
      </x:c>
      <x:c r="B11" s="5" t="str">
        <x:v>Not collected in this pass; absence not established</x:v>
      </x:c>
      <x:c r="C11" s="5" t="str">
        <x:v>ChemicalData and ThermodynamicData, subject to compound coverage</x:v>
      </x:c>
      <x:c r="D11" s="5" t="str">
        <x:v>ThermoML; NIST fluid systems; CoolProp; DDB</x:v>
      </x:c>
      <x:c r="E11" s="5" t="str">
        <x:v>Retain temperature, pressure, phase, method and source. Query the surviving compounds before ordering experiments.</x:v>
      </x:c>
      <x:c r="F11" s="5" t="str">
        <x:v>Literature / fitted model</x:v>
      </x:c>
      <x:c r="G11" s="5" t="str">
        <x:v>https://trc.nist.gov/ThermoML/</x:v>
      </x:c>
    </x:row>
    <x:row r="12" ht="88" customHeight="1">
      <x:c r="A12" s="5" t="str">
        <x:v>Permittivity / resistivity</x:v>
      </x:c>
      <x:c r="B12" s="5" t="str">
        <x:v>Not assessed</x:v>
      </x:c>
      <x:c r="C12" s="5" t="str">
        <x:v>ChemicalData: DielectricConstant and Resistivity</x:v>
      </x:c>
      <x:c r="D12" s="5" t="str">
        <x:v>Primary electrical-property papers; DDB; supplier test reports</x:v>
      </x:c>
      <x:c r="E12" s="5" t="str">
        <x:v>Permittivity is not resistivity or dielectric breakdown strength. Check moisture, purity, temperature and frequency.</x:v>
      </x:c>
      <x:c r="F12" s="5" t="str">
        <x:v>Literature first; sample testing later</x:v>
      </x:c>
      <x:c r="G12" s="5" t="str">
        <x:v>https://reference.wolfram.com/language/ref/ChemicalData.html</x:v>
      </x:c>
    </x:row>
    <x:row r="13" ht="88" customHeight="1">
      <x:c r="A13" s="5" t="str">
        <x:v>Dielectric breakdown / materials / ageing</x:v>
      </x:c>
      <x:c r="B13" s="5" t="str">
        <x:v>Not assessed</x:v>
      </x:c>
      <x:c r="C13" s="5" t="str">
        <x:v>No molecule-only lookup qualifies an operating system</x:v>
      </x:c>
      <x:c r="D13" s="5" t="str">
        <x:v>OCP methods; fluid and component suppliers; primary test reports</x:v>
      </x:c>
      <x:c r="E13" s="5" t="str">
        <x:v>Test the actual fluid grade, materials and operating conditions if no transferable evidence exists.</x:v>
      </x:c>
      <x:c r="F13" s="5" t="str">
        <x:v>Application-specific measurement</x:v>
      </x:c>
      <x:c r="G13" s="5" t="str">
        <x:v>https://www.opencompute.org/documents/material-compatibility-in-immersion-cooling-document-version-1-0-nov-28-2022-1-pdf</x:v>
      </x:c>
    </x:row>
    <x:row r="14" ht="88" customHeight="1">
      <x:c r="A14" s="5" t="str">
        <x:v>Mixtures / novel molecules</x:v>
      </x:c>
      <x:c r="B14" s="5" t="str">
        <x:v>Outside this PURE screen</x:v>
      </x:c>
      <x:c r="C14" s="5" t="str">
        <x:v>Use Mathematica for data handling and model analysis</x:v>
      </x:c>
      <x:c r="D14" s="5" t="str">
        <x:v>ThermoML mixtures; calibrated property models; targeted experiments</x:v>
      </x:c>
      <x:c r="E14" s="5" t="str">
        <x:v>Predictions remain predictions. Do not infer blend flash point or dielectric breakdown by linear mixing.</x:v>
      </x:c>
      <x:c r="F14" s="5" t="str">
        <x:v>Separate hypothesis / validation</x:v>
      </x:c>
      <x:c r="G14" s="5" t="str">
        <x:v>https://www.nist.gov/mml/acmd/trc/thermoml/thermoml-archive</x:v>
      </x:c>
    </x:row>
    <x:row r="15" ht="88" customHeight="1">
      <x:c r="A15" s="5" t="str">
        <x:v>Bulk supply / OEM requirements / cost</x:v>
      </x:c>
      <x:c r="B15" s="5" t="str">
        <x:v>Not verified by catalogue entries</x:v>
      </x:c>
      <x:c r="C15" s="5" t="str">
        <x:v>Not closed by Wolfram property data</x:v>
      </x:c>
      <x:c r="D15" s="5" t="str">
        <x:v>Supplier quotations and OEM/system requirements</x:v>
      </x:c>
      <x:c r="E15" s="5" t="str">
        <x:v>Request evidence only for a surviving profile; no outreach or purchasing has been performed.</x:v>
      </x:c>
      <x:c r="F15" s="5" t="str">
        <x:v>External evidence</x:v>
      </x:c>
      <x:c r="G15" s="5" t="str">
        <x:v>https://www.opencompute.org/wiki/Cooling_Environments/Immersion</x:v>
      </x:c>
    </x:row>
  </x:sheetData>
  <x:pageMargins left="0.7" right="0.7" top="0.75" bottom="0.75" header="0.3" footer="0.3"/>
  <x:tableParts count="1">
    <x:tablePart xmlns:r="http://schemas.openxmlformats.org/officeDocument/2006/relationships" r:id="Rca8aac1e7b9a4f8d"/>
  </x:tableParts>
</x:worksheet>
</file>